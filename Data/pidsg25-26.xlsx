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debdeeppaul/Documents/Procurement/PIDSG26/demanddro/Data/"/>
    </mc:Choice>
  </mc:AlternateContent>
  <xr:revisionPtr revIDLastSave="0" documentId="13_ncr:1_{F07A2D9E-B91E-CC43-AACC-BCFC6E60C7BC}" xr6:coauthVersionLast="47" xr6:coauthVersionMax="47" xr10:uidLastSave="{00000000-0000-0000-0000-000000000000}"/>
  <bookViews>
    <workbookView xWindow="0" yWindow="500" windowWidth="28800" windowHeight="15680" tabRatio="500" activeTab="2" xr2:uid="{00000000-000D-0000-FFFF-FFFF00000000}"/>
  </bookViews>
  <sheets>
    <sheet name="supplier" sheetId="1" r:id="rId1"/>
    <sheet name="demand" sheetId="2" r:id="rId2"/>
    <sheet name="price" sheetId="3" r:id="rId3"/>
    <sheet name="capacity" sheetId="4" r:id="rId4"/>
    <sheet name="result" sheetId="5" r:id="rId5"/>
    <sheet name="Sheet1" sheetId="6" r:id="rId6"/>
  </sheets>
  <definedNames>
    <definedName name="_xlnm._FilterDatabase" localSheetId="3" hidden="1">capacity!$A$1:$C$13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5" i="5" l="1"/>
  <c r="L46" i="5"/>
  <c r="L47" i="5"/>
  <c r="L48" i="5"/>
  <c r="L49" i="5"/>
  <c r="L50" i="5"/>
  <c r="L51" i="5"/>
  <c r="L52" i="5"/>
  <c r="L53" i="5"/>
  <c r="L54" i="5"/>
  <c r="L55" i="5"/>
  <c r="L44" i="5"/>
  <c r="J50" i="5"/>
  <c r="J51" i="5"/>
  <c r="J52" i="5"/>
  <c r="J53" i="5"/>
  <c r="J54" i="5"/>
  <c r="J55" i="5"/>
  <c r="J45" i="5"/>
  <c r="J46" i="5"/>
  <c r="J47" i="5"/>
  <c r="J48" i="5"/>
  <c r="J49" i="5"/>
  <c r="J44" i="5"/>
  <c r="G63" i="5"/>
  <c r="H50" i="5" s="1"/>
  <c r="G57" i="5"/>
  <c r="H44" i="5" s="1"/>
  <c r="H45" i="5"/>
  <c r="H46" i="5"/>
  <c r="H47" i="5"/>
  <c r="H48" i="5"/>
  <c r="H49" i="5"/>
  <c r="H51" i="5"/>
  <c r="H52" i="5"/>
  <c r="H53" i="5"/>
  <c r="H54" i="5"/>
  <c r="H55" i="5"/>
  <c r="D44" i="5" l="1"/>
  <c r="E44" i="5"/>
  <c r="D45" i="5"/>
  <c r="D46" i="5"/>
  <c r="D47" i="5"/>
  <c r="D48" i="5"/>
  <c r="D49" i="5"/>
  <c r="D50" i="5"/>
  <c r="D51" i="5"/>
  <c r="D52" i="5"/>
  <c r="D53" i="5"/>
  <c r="D54" i="5"/>
  <c r="D55" i="5"/>
  <c r="F34" i="5"/>
  <c r="T30" i="5"/>
  <c r="F29" i="5"/>
  <c r="R28" i="5"/>
  <c r="S28" i="5" s="1"/>
  <c r="Q28" i="5"/>
  <c r="S27" i="5"/>
  <c r="S26" i="5"/>
  <c r="G26" i="5"/>
  <c r="G16" i="5"/>
  <c r="G15" i="5"/>
  <c r="G14" i="5"/>
  <c r="G13" i="5"/>
  <c r="G12" i="5"/>
  <c r="G11" i="5"/>
  <c r="G10" i="5"/>
  <c r="G9" i="5"/>
  <c r="G8" i="5"/>
  <c r="G7" i="5"/>
  <c r="G6" i="5"/>
  <c r="I5" i="5"/>
  <c r="M5" i="5" s="1"/>
  <c r="G5" i="5"/>
  <c r="G20" i="5" s="1"/>
  <c r="M6" i="5" l="1"/>
  <c r="O5" i="5"/>
  <c r="G29" i="5"/>
  <c r="M7" i="5" l="1"/>
  <c r="O6" i="5"/>
  <c r="M8" i="5" l="1"/>
  <c r="O7" i="5"/>
  <c r="O8" i="5" l="1"/>
  <c r="M9" i="5"/>
  <c r="O9" i="5" l="1"/>
  <c r="M10" i="5"/>
  <c r="M11" i="5" l="1"/>
  <c r="O10" i="5"/>
  <c r="O11" i="5" l="1"/>
  <c r="M12" i="5"/>
  <c r="O12" i="5" l="1"/>
  <c r="M13" i="5"/>
  <c r="M14" i="5" l="1"/>
  <c r="O13" i="5"/>
  <c r="M15" i="5" l="1"/>
  <c r="O14" i="5"/>
  <c r="M16" i="5" l="1"/>
  <c r="O15" i="5"/>
  <c r="O16" i="5" l="1"/>
  <c r="O20" i="5" s="1"/>
  <c r="O23" i="5" s="1"/>
  <c r="R30" i="5" s="1"/>
  <c r="V30" i="5" s="1"/>
  <c r="E26" i="5"/>
  <c r="E29" i="5" l="1"/>
  <c r="F33" i="5"/>
  <c r="F36" i="5" l="1"/>
  <c r="I29" i="5"/>
</calcChain>
</file>

<file path=xl/sharedStrings.xml><?xml version="1.0" encoding="utf-8"?>
<sst xmlns="http://schemas.openxmlformats.org/spreadsheetml/2006/main" count="135" uniqueCount="126">
  <si>
    <t>supplier</t>
  </si>
  <si>
    <t>unit_price</t>
  </si>
  <si>
    <t>order_cost</t>
  </si>
  <si>
    <t>lead_time</t>
  </si>
  <si>
    <t>quality_level</t>
  </si>
  <si>
    <t>capacity</t>
  </si>
  <si>
    <t>s1</t>
  </si>
  <si>
    <t>s2</t>
  </si>
  <si>
    <t>time</t>
  </si>
  <si>
    <t>Demand</t>
  </si>
  <si>
    <t>Syn-1</t>
  </si>
  <si>
    <t>Syn-2</t>
  </si>
  <si>
    <t>Syn-3</t>
  </si>
  <si>
    <t>Syn-4</t>
  </si>
  <si>
    <t>Syn-5</t>
  </si>
  <si>
    <t>Syn-6</t>
  </si>
  <si>
    <t>Syn-7</t>
  </si>
  <si>
    <t>Syn-8</t>
  </si>
  <si>
    <t>Syn-9</t>
  </si>
  <si>
    <t>Syn-10</t>
  </si>
  <si>
    <t>Syn-11</t>
  </si>
  <si>
    <t>Syn-12</t>
  </si>
  <si>
    <t>Syn-13</t>
  </si>
  <si>
    <t>Syn-14</t>
  </si>
  <si>
    <t>Syn-15</t>
  </si>
  <si>
    <t>Syn-16</t>
  </si>
  <si>
    <t>Syn-17</t>
  </si>
  <si>
    <t>Syn-18</t>
  </si>
  <si>
    <t>Syn-19</t>
  </si>
  <si>
    <t>Syn-20</t>
  </si>
  <si>
    <t>Syn-21</t>
  </si>
  <si>
    <t>Syn-22</t>
  </si>
  <si>
    <t>Syn-23</t>
  </si>
  <si>
    <t>Syn-24</t>
  </si>
  <si>
    <t>Syn-25</t>
  </si>
  <si>
    <t>Syn-26</t>
  </si>
  <si>
    <t>Syn-27</t>
  </si>
  <si>
    <t>Syn-28</t>
  </si>
  <si>
    <t>Syn-29</t>
  </si>
  <si>
    <t>Syn-30</t>
  </si>
  <si>
    <t>Syn-31</t>
  </si>
  <si>
    <t>Syn-32</t>
  </si>
  <si>
    <t>Syn-33</t>
  </si>
  <si>
    <t>Syn-34</t>
  </si>
  <si>
    <t>Syn-35</t>
  </si>
  <si>
    <t>Syn-36</t>
  </si>
  <si>
    <t>Syn-37</t>
  </si>
  <si>
    <t>Syn-38</t>
  </si>
  <si>
    <t>Syn-39</t>
  </si>
  <si>
    <t>Syn-40</t>
  </si>
  <si>
    <t>Syn-41</t>
  </si>
  <si>
    <t>Syn-42</t>
  </si>
  <si>
    <t>Syn-43</t>
  </si>
  <si>
    <t>Syn-44</t>
  </si>
  <si>
    <t>Syn-45</t>
  </si>
  <si>
    <t>Syn-46</t>
  </si>
  <si>
    <t>Syn-47</t>
  </si>
  <si>
    <t>Syn-48</t>
  </si>
  <si>
    <t>Syn-49</t>
  </si>
  <si>
    <t>Syn-50</t>
  </si>
  <si>
    <t>Syn-51</t>
  </si>
  <si>
    <t>Syn-52</t>
  </si>
  <si>
    <t>Syn-53</t>
  </si>
  <si>
    <t>Syn-54</t>
  </si>
  <si>
    <t>Syn-55</t>
  </si>
  <si>
    <t>Syn-56</t>
  </si>
  <si>
    <t>Syn-57</t>
  </si>
  <si>
    <t>Syn-58</t>
  </si>
  <si>
    <t>Syn-59</t>
  </si>
  <si>
    <t>Syn-60</t>
  </si>
  <si>
    <t>Syn-61</t>
  </si>
  <si>
    <t>Syn-62</t>
  </si>
  <si>
    <t>Syn-63</t>
  </si>
  <si>
    <t>Syn-64</t>
  </si>
  <si>
    <t>Syn-65</t>
  </si>
  <si>
    <t>Syn-66</t>
  </si>
  <si>
    <t>Syn-67</t>
  </si>
  <si>
    <t>Syn-68</t>
  </si>
  <si>
    <t>Syn-69</t>
  </si>
  <si>
    <t>Syn-70</t>
  </si>
  <si>
    <t>Syn-71</t>
  </si>
  <si>
    <t>Syn-72</t>
  </si>
  <si>
    <t>Syn-73</t>
  </si>
  <si>
    <t>Syn-74</t>
  </si>
  <si>
    <t>Syn-75</t>
  </si>
  <si>
    <t>Syn-76</t>
  </si>
  <si>
    <t>Syn-77</t>
  </si>
  <si>
    <t>Syn-78</t>
  </si>
  <si>
    <t>Syn-79</t>
  </si>
  <si>
    <t>Syn-80</t>
  </si>
  <si>
    <t>Syn-81</t>
  </si>
  <si>
    <t>Syn-82</t>
  </si>
  <si>
    <t>Syn-83</t>
  </si>
  <si>
    <t>Syn-84</t>
  </si>
  <si>
    <t>Syn-85</t>
  </si>
  <si>
    <t>Syn-86</t>
  </si>
  <si>
    <t>Syn-87</t>
  </si>
  <si>
    <t>Syn-88</t>
  </si>
  <si>
    <t>Syn-89</t>
  </si>
  <si>
    <t>Syn-90</t>
  </si>
  <si>
    <t>Syn-91</t>
  </si>
  <si>
    <t>Syn-92</t>
  </si>
  <si>
    <t>Syn-93</t>
  </si>
  <si>
    <t>Syn-94</t>
  </si>
  <si>
    <t>Syn-95</t>
  </si>
  <si>
    <t>Syn-96</t>
  </si>
  <si>
    <t>Syn-97</t>
  </si>
  <si>
    <t>Syn-98</t>
  </si>
  <si>
    <t>Syn-99</t>
  </si>
  <si>
    <t>Syn-100</t>
  </si>
  <si>
    <t>Price-1</t>
  </si>
  <si>
    <t>Price-2</t>
  </si>
  <si>
    <t>Man proc</t>
  </si>
  <si>
    <t>Manual Proc</t>
  </si>
  <si>
    <t>I0</t>
  </si>
  <si>
    <t>Procurement</t>
  </si>
  <si>
    <t>storage cost</t>
  </si>
  <si>
    <t>Sum</t>
  </si>
  <si>
    <t>DRO</t>
  </si>
  <si>
    <t>SAA</t>
  </si>
  <si>
    <t>Man</t>
  </si>
  <si>
    <t>AI</t>
  </si>
  <si>
    <t>Proc</t>
  </si>
  <si>
    <t>Stor</t>
  </si>
  <si>
    <t>Back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</si>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</sst>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6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11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165" fontId="4" fillId="0" borderId="0" xfId="1" applyNumberFormat="1"/>
    <xf numFmtId="165" fontId="4" fillId="2" borderId="0" xfId="1" applyNumberFormat="1" applyFill="1"/>
    <xf numFmtId="2" fontId="0" fillId="2" borderId="0" xfId="0" applyNumberFormat="1" applyFill="1"/>
    <xf numFmtId="2" fontId="4" fillId="0" borderId="0" xfId="1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baseColWidth="10" defaultColWidth="8.83203125" defaultRowHeight="15" x14ac:dyDescent="0.2"/>
  <cols>
    <col min="2" max="2" width="9.6640625" customWidth="1"/>
    <col min="3" max="3" width="9.83203125" customWidth="1"/>
    <col min="4" max="4" width="9.6640625" customWidth="1"/>
    <col min="5" max="5" width="10.83203125" customWidth="1"/>
  </cols>
  <sheetData>
    <row r="1" spans="1: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">
      <c r="A2" s="1" t="s">
        <v>6</v>
      </c>
      <c r="B2" s="2">
        <v>2</v>
      </c>
      <c r="C2">
        <v>10</v>
      </c>
      <c r="D2">
        <v>3</v>
      </c>
      <c r="E2">
        <v>1</v>
      </c>
      <c r="F2" s="2">
        <v>7000</v>
      </c>
    </row>
    <row r="3" spans="1:6" x14ac:dyDescent="0.2">
      <c r="A3" s="1" t="s">
        <v>7</v>
      </c>
      <c r="B3" s="2">
        <v>4</v>
      </c>
      <c r="C3">
        <v>10</v>
      </c>
      <c r="D3">
        <v>3</v>
      </c>
      <c r="E3">
        <v>4</v>
      </c>
      <c r="F3" s="2">
        <v>7000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3"/>
  <sheetViews>
    <sheetView zoomScaleNormal="100" workbookViewId="0">
      <selection activeCell="B1" sqref="B1"/>
    </sheetView>
  </sheetViews>
  <sheetFormatPr baseColWidth="10" defaultColWidth="8.5" defaultRowHeight="15" x14ac:dyDescent="0.2"/>
  <cols>
    <col min="1" max="1" width="6" customWidth="1"/>
    <col min="28" max="28" width="9.1640625" customWidth="1"/>
    <col min="96" max="96" width="12.83203125" customWidth="1"/>
    <col min="97" max="97" width="18.33203125" customWidth="1"/>
    <col min="1025" max="1025" width="9.1640625" customWidth="1"/>
  </cols>
  <sheetData>
    <row r="1" spans="1:102" x14ac:dyDescent="0.2">
      <c r="A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3" t="s">
        <v>85</v>
      </c>
      <c r="CA1" s="3" t="s">
        <v>86</v>
      </c>
      <c r="CB1" s="3" t="s">
        <v>87</v>
      </c>
      <c r="CC1" s="3" t="s">
        <v>88</v>
      </c>
      <c r="CD1" s="3" t="s">
        <v>89</v>
      </c>
      <c r="CE1" s="3" t="s">
        <v>90</v>
      </c>
      <c r="CF1" s="3" t="s">
        <v>91</v>
      </c>
      <c r="CG1" s="3" t="s">
        <v>92</v>
      </c>
      <c r="CH1" s="3" t="s">
        <v>93</v>
      </c>
      <c r="CI1" s="3" t="s">
        <v>94</v>
      </c>
      <c r="CJ1" s="3" t="s">
        <v>95</v>
      </c>
      <c r="CK1" s="3" t="s">
        <v>96</v>
      </c>
      <c r="CL1" s="3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  <c r="CV1" s="3" t="s">
        <v>107</v>
      </c>
      <c r="CW1" s="3" t="s">
        <v>108</v>
      </c>
      <c r="CX1" s="3" t="s">
        <v>109</v>
      </c>
    </row>
    <row r="2" spans="1:102" x14ac:dyDescent="0.2">
      <c r="A2">
        <v>1</v>
      </c>
      <c r="B2">
        <v>9789.2132850934613</v>
      </c>
      <c r="C2">
        <v>10263.4899287768</v>
      </c>
      <c r="D2">
        <v>11192.869411907501</v>
      </c>
      <c r="E2">
        <v>6339.5754185270898</v>
      </c>
      <c r="F2">
        <v>9909.4468849259592</v>
      </c>
      <c r="G2">
        <v>9626.0532778164597</v>
      </c>
      <c r="H2">
        <v>11471.82112319</v>
      </c>
      <c r="I2">
        <v>9787.6733412474496</v>
      </c>
      <c r="J2">
        <v>10596.7037287742</v>
      </c>
      <c r="K2">
        <v>10393.711803558001</v>
      </c>
      <c r="L2">
        <v>11469.754291527301</v>
      </c>
      <c r="M2">
        <v>9303.6220458964708</v>
      </c>
      <c r="N2">
        <v>12236.6394709369</v>
      </c>
      <c r="O2">
        <v>8849.4182490064304</v>
      </c>
      <c r="P2">
        <v>10731.321387620799</v>
      </c>
      <c r="Q2">
        <v>10483.790408626301</v>
      </c>
      <c r="R2">
        <v>14450.9989991242</v>
      </c>
      <c r="S2">
        <v>8696.3639009386206</v>
      </c>
      <c r="T2">
        <v>10906.821155458199</v>
      </c>
      <c r="U2">
        <v>9438.7819050001999</v>
      </c>
      <c r="V2">
        <v>8142.3722850674503</v>
      </c>
      <c r="W2">
        <v>11177.4347047515</v>
      </c>
      <c r="X2">
        <v>7555.3594676800103</v>
      </c>
      <c r="Y2">
        <v>8421.3910000668202</v>
      </c>
      <c r="Z2">
        <v>9887.3965518476707</v>
      </c>
      <c r="AA2">
        <v>11454.4484108989</v>
      </c>
      <c r="AB2">
        <v>11040.0800887846</v>
      </c>
      <c r="AC2">
        <v>10231.935379004701</v>
      </c>
      <c r="AD2">
        <v>7092.9966565643999</v>
      </c>
      <c r="AE2">
        <v>8772.5091808670895</v>
      </c>
      <c r="AF2">
        <v>9133.4286738400297</v>
      </c>
      <c r="AG2">
        <v>8070.8212159519298</v>
      </c>
      <c r="AH2">
        <v>6741.6656981846099</v>
      </c>
      <c r="AI2">
        <v>9978.6738575976597</v>
      </c>
      <c r="AJ2">
        <v>11108.9205341704</v>
      </c>
      <c r="AK2">
        <v>8996.2574942217798</v>
      </c>
      <c r="AL2">
        <v>11425.1611380004</v>
      </c>
      <c r="AM2">
        <v>7384.1514634794103</v>
      </c>
      <c r="AN2">
        <v>7978.66205213986</v>
      </c>
      <c r="AO2">
        <v>9938.3285073705902</v>
      </c>
      <c r="AP2">
        <v>8851.3908492789997</v>
      </c>
      <c r="AQ2">
        <v>10927.1019945568</v>
      </c>
      <c r="AR2">
        <v>10574.513566523599</v>
      </c>
      <c r="AS2">
        <v>8969.7069510585297</v>
      </c>
      <c r="AT2">
        <v>7514.74376278195</v>
      </c>
      <c r="AU2">
        <v>8774.2790518662096</v>
      </c>
      <c r="AV2">
        <v>10624.1113946397</v>
      </c>
      <c r="AW2">
        <v>11011.3434054719</v>
      </c>
      <c r="AX2">
        <v>8858.6482967493503</v>
      </c>
      <c r="AY2">
        <v>6734.8359572446498</v>
      </c>
      <c r="AZ2">
        <v>7307.9718026611399</v>
      </c>
      <c r="BA2">
        <v>10457.196651589</v>
      </c>
      <c r="BB2">
        <v>8941.7678646379009</v>
      </c>
      <c r="BC2">
        <v>8982.2817486180393</v>
      </c>
      <c r="BD2">
        <v>7954.4335759456098</v>
      </c>
      <c r="BE2">
        <v>7926.4368986617401</v>
      </c>
      <c r="BF2">
        <v>11386.773935013</v>
      </c>
      <c r="BG2">
        <v>10528.406516253701</v>
      </c>
      <c r="BH2">
        <v>8548.6833057712392</v>
      </c>
      <c r="BI2">
        <v>9799.6442167345795</v>
      </c>
      <c r="BJ2">
        <v>10118.289762975401</v>
      </c>
      <c r="BK2">
        <v>13120.6267594078</v>
      </c>
      <c r="BL2">
        <v>7801.8452739244403</v>
      </c>
      <c r="BM2">
        <v>10092.8764447956</v>
      </c>
      <c r="BN2">
        <v>11375.498891254399</v>
      </c>
      <c r="BO2">
        <v>12793.0758373885</v>
      </c>
      <c r="BP2">
        <v>8467.1919145997108</v>
      </c>
      <c r="BQ2">
        <v>8920.2693678538799</v>
      </c>
      <c r="BR2">
        <v>10947.301369692999</v>
      </c>
      <c r="BS2">
        <v>7071.4103991655302</v>
      </c>
      <c r="BT2">
        <v>10281.3146162874</v>
      </c>
      <c r="BU2">
        <v>14085.457951247799</v>
      </c>
      <c r="BV2">
        <v>10487.2349455242</v>
      </c>
      <c r="BW2">
        <v>6077.4086750071001</v>
      </c>
      <c r="BX2">
        <v>8162.41629079834</v>
      </c>
      <c r="BY2">
        <v>8516.5496511995407</v>
      </c>
      <c r="BZ2">
        <v>11883.603766563199</v>
      </c>
      <c r="CA2">
        <v>9353.4588376070406</v>
      </c>
      <c r="CB2">
        <v>6754.2013499578097</v>
      </c>
      <c r="CC2">
        <v>9554.4741011762599</v>
      </c>
      <c r="CD2">
        <v>9914.2629885111492</v>
      </c>
      <c r="CE2">
        <v>8719.8624080843492</v>
      </c>
      <c r="CF2">
        <v>7900.7334820331098</v>
      </c>
      <c r="CG2">
        <v>14417.500497171901</v>
      </c>
      <c r="CH2">
        <v>11382.8267755863</v>
      </c>
      <c r="CI2">
        <v>11585.9959727961</v>
      </c>
      <c r="CJ2">
        <v>9357.26063868452</v>
      </c>
      <c r="CK2">
        <v>8440.4358161535401</v>
      </c>
      <c r="CL2">
        <v>8800.6073797632798</v>
      </c>
      <c r="CM2">
        <v>7380.49155636261</v>
      </c>
      <c r="CN2">
        <v>13066.582958429201</v>
      </c>
      <c r="CO2">
        <v>9429.8012030863702</v>
      </c>
      <c r="CP2">
        <v>12427.6624991012</v>
      </c>
      <c r="CQ2">
        <v>8881.3787395908203</v>
      </c>
      <c r="CR2">
        <v>10516.7374969431</v>
      </c>
      <c r="CS2">
        <v>10019.4352354154</v>
      </c>
      <c r="CT2">
        <v>7234.8097375491197</v>
      </c>
      <c r="CU2">
        <v>13413.523556806</v>
      </c>
      <c r="CV2">
        <v>8932.4889161700994</v>
      </c>
      <c r="CW2">
        <v>7661.7677003606505</v>
      </c>
      <c r="CX2">
        <v>7661.7677003606505</v>
      </c>
    </row>
    <row r="3" spans="1:102" x14ac:dyDescent="0.2">
      <c r="A3">
        <v>2</v>
      </c>
      <c r="B3">
        <v>6290.6362676445833</v>
      </c>
      <c r="C3">
        <v>7045.9470347021197</v>
      </c>
      <c r="D3">
        <v>6200.3624612839203</v>
      </c>
      <c r="E3">
        <v>6638.2622538122296</v>
      </c>
      <c r="F3">
        <v>6320.6557684709096</v>
      </c>
      <c r="G3">
        <v>3981.0119117146601</v>
      </c>
      <c r="H3">
        <v>5211.4797771903404</v>
      </c>
      <c r="I3">
        <v>5172.7336730165598</v>
      </c>
      <c r="J3">
        <v>7423.1778435649803</v>
      </c>
      <c r="K3">
        <v>6245.1204017964301</v>
      </c>
      <c r="L3">
        <v>6837.4981984390897</v>
      </c>
      <c r="M3">
        <v>5806.2038817128296</v>
      </c>
      <c r="N3">
        <v>6903.8301848093897</v>
      </c>
      <c r="O3">
        <v>6015.6689259935301</v>
      </c>
      <c r="P3">
        <v>5931.1843247543402</v>
      </c>
      <c r="Q3">
        <v>6430.0522926849198</v>
      </c>
      <c r="R3">
        <v>6320.5354401930699</v>
      </c>
      <c r="S3">
        <v>9914.3896290347893</v>
      </c>
      <c r="T3">
        <v>5200.3505389131797</v>
      </c>
      <c r="U3">
        <v>4551.6317984920997</v>
      </c>
      <c r="V3">
        <v>6609.5898491079297</v>
      </c>
      <c r="W3">
        <v>5339.4743169122003</v>
      </c>
      <c r="X3">
        <v>3891.42652890506</v>
      </c>
      <c r="Y3">
        <v>4971.4712575088797</v>
      </c>
      <c r="Z3">
        <v>9400.2496180856997</v>
      </c>
      <c r="AA3">
        <v>5174.1632606581497</v>
      </c>
      <c r="AB3">
        <v>4259.0586065335201</v>
      </c>
      <c r="AC3">
        <v>9266.0840947787401</v>
      </c>
      <c r="AD3">
        <v>4934.5164064663704</v>
      </c>
      <c r="AE3">
        <v>10591.1193588637</v>
      </c>
      <c r="AF3">
        <v>5757.8365050460197</v>
      </c>
      <c r="AG3">
        <v>8627.4804978569391</v>
      </c>
      <c r="AH3">
        <v>5905.2528923351201</v>
      </c>
      <c r="AI3">
        <v>6766.1017370148202</v>
      </c>
      <c r="AJ3">
        <v>6041.0185956350597</v>
      </c>
      <c r="AK3">
        <v>5913.8452395189597</v>
      </c>
      <c r="AL3">
        <v>6501.4511130927804</v>
      </c>
      <c r="AM3">
        <v>6814.8945330711304</v>
      </c>
      <c r="AN3">
        <v>6403.0362748470297</v>
      </c>
      <c r="AO3">
        <v>6273.4272417660504</v>
      </c>
      <c r="AP3">
        <v>5347.9860041081001</v>
      </c>
      <c r="AQ3">
        <v>6085.9730514491403</v>
      </c>
      <c r="AR3">
        <v>8387.9376414919898</v>
      </c>
      <c r="AS3">
        <v>5301.16281767702</v>
      </c>
      <c r="AT3">
        <v>6538.8869330028801</v>
      </c>
      <c r="AU3">
        <v>7817.52136942982</v>
      </c>
      <c r="AV3">
        <v>6826.3459834558998</v>
      </c>
      <c r="AW3">
        <v>7439.4331833101796</v>
      </c>
      <c r="AX3">
        <v>4919.8965305246502</v>
      </c>
      <c r="AY3">
        <v>6542.19922526762</v>
      </c>
      <c r="AZ3">
        <v>5848.7445178898397</v>
      </c>
      <c r="BA3">
        <v>5897.15749753212</v>
      </c>
      <c r="BB3">
        <v>8233.2943371008605</v>
      </c>
      <c r="BC3">
        <v>5915.44689642704</v>
      </c>
      <c r="BD3">
        <v>6584.0654056223302</v>
      </c>
      <c r="BE3">
        <v>4260.0373515027404</v>
      </c>
      <c r="BF3">
        <v>8625.3833605475702</v>
      </c>
      <c r="BG3">
        <v>7350.09407150684</v>
      </c>
      <c r="BH3">
        <v>6130.4383660112399</v>
      </c>
      <c r="BI3">
        <v>5798.0995115543001</v>
      </c>
      <c r="BJ3">
        <v>6963.7578296879501</v>
      </c>
      <c r="BK3">
        <v>7797.5252356558003</v>
      </c>
      <c r="BL3">
        <v>8651.2188056966697</v>
      </c>
      <c r="BM3">
        <v>7300.0745020695904</v>
      </c>
      <c r="BN3">
        <v>6290.2961760170701</v>
      </c>
      <c r="BO3">
        <v>7527.4110009896403</v>
      </c>
      <c r="BP3">
        <v>7236.7095894125596</v>
      </c>
      <c r="BQ3">
        <v>6295.1540397896197</v>
      </c>
      <c r="BR3">
        <v>7193.2143415924202</v>
      </c>
      <c r="BS3">
        <v>7165.54299998439</v>
      </c>
      <c r="BT3">
        <v>6123.4643873547202</v>
      </c>
      <c r="BU3">
        <v>5581.3295963131004</v>
      </c>
      <c r="BV3">
        <v>7038.0717463224</v>
      </c>
      <c r="BW3">
        <v>5024.1440709026601</v>
      </c>
      <c r="BX3">
        <v>4807.1699818407596</v>
      </c>
      <c r="BY3">
        <v>6604.9052045086</v>
      </c>
      <c r="BZ3">
        <v>6999.0440505455799</v>
      </c>
      <c r="CA3">
        <v>6594.9547745605496</v>
      </c>
      <c r="CB3">
        <v>6738.5058944202201</v>
      </c>
      <c r="CC3">
        <v>3968.87982332303</v>
      </c>
      <c r="CD3">
        <v>6974.8974696653304</v>
      </c>
      <c r="CE3">
        <v>8240.0207530351399</v>
      </c>
      <c r="CF3">
        <v>7325.9991645090804</v>
      </c>
      <c r="CG3">
        <v>7280.2852946398798</v>
      </c>
      <c r="CH3">
        <v>6502.3639088428299</v>
      </c>
      <c r="CI3">
        <v>6550.7793270108896</v>
      </c>
      <c r="CJ3">
        <v>6024.2123088730496</v>
      </c>
      <c r="CK3">
        <v>6698.3275018496197</v>
      </c>
      <c r="CL3">
        <v>4975.6526685838799</v>
      </c>
      <c r="CM3">
        <v>8248.3359707077398</v>
      </c>
      <c r="CN3">
        <v>5234.8501653148796</v>
      </c>
      <c r="CO3">
        <v>7322.9306005036497</v>
      </c>
      <c r="CP3">
        <v>8020.1177653121404</v>
      </c>
      <c r="CQ3">
        <v>7319.3518843069796</v>
      </c>
      <c r="CR3">
        <v>9593.7532583975808</v>
      </c>
      <c r="CS3">
        <v>4024.5284534812599</v>
      </c>
      <c r="CT3">
        <v>5652.1598159377099</v>
      </c>
      <c r="CU3">
        <v>7991.37529012921</v>
      </c>
      <c r="CV3">
        <v>4770.2841982122</v>
      </c>
      <c r="CW3">
        <v>5266.2760906597096</v>
      </c>
      <c r="CX3">
        <v>5266.2760906597096</v>
      </c>
    </row>
    <row r="4" spans="1:102" x14ac:dyDescent="0.2">
      <c r="A4">
        <v>3</v>
      </c>
      <c r="B4">
        <v>10661.131653715969</v>
      </c>
      <c r="C4">
        <v>11668.7106756336</v>
      </c>
      <c r="D4">
        <v>7801.5441837825701</v>
      </c>
      <c r="E4">
        <v>10634.5226187074</v>
      </c>
      <c r="F4">
        <v>11522.2522960028</v>
      </c>
      <c r="G4">
        <v>10814.498535127799</v>
      </c>
      <c r="H4">
        <v>11011.9510906465</v>
      </c>
      <c r="I4">
        <v>9095.9838502423008</v>
      </c>
      <c r="J4">
        <v>10941.276214211301</v>
      </c>
      <c r="K4">
        <v>9706.8971343643407</v>
      </c>
      <c r="L4">
        <v>9965.9322188745391</v>
      </c>
      <c r="M4">
        <v>12375.502309769599</v>
      </c>
      <c r="N4">
        <v>8005.1006010373603</v>
      </c>
      <c r="O4">
        <v>6310.1615174954904</v>
      </c>
      <c r="P4">
        <v>12187.4334996589</v>
      </c>
      <c r="Q4">
        <v>10943.481046188501</v>
      </c>
      <c r="R4">
        <v>13588.9892785064</v>
      </c>
      <c r="S4">
        <v>8972.0168727662403</v>
      </c>
      <c r="T4">
        <v>10312.608421332799</v>
      </c>
      <c r="U4">
        <v>10715.313103947199</v>
      </c>
      <c r="V4">
        <v>9309.6196685366194</v>
      </c>
      <c r="W4">
        <v>8747.8441539537798</v>
      </c>
      <c r="X4">
        <v>12314.389599661399</v>
      </c>
      <c r="Y4">
        <v>7854.7395418021597</v>
      </c>
      <c r="Z4">
        <v>8465.4746258819105</v>
      </c>
      <c r="AA4">
        <v>10243.7819263775</v>
      </c>
      <c r="AB4">
        <v>12610.1208871743</v>
      </c>
      <c r="AC4">
        <v>9428.2372154964796</v>
      </c>
      <c r="AD4">
        <v>9193.1960595018409</v>
      </c>
      <c r="AE4">
        <v>10123.239838594</v>
      </c>
      <c r="AF4">
        <v>11304.2910292294</v>
      </c>
      <c r="AG4">
        <v>9809.5492606778007</v>
      </c>
      <c r="AH4">
        <v>12945.0890842586</v>
      </c>
      <c r="AI4">
        <v>13060.646416069099</v>
      </c>
      <c r="AJ4">
        <v>10243.676053583</v>
      </c>
      <c r="AK4">
        <v>15215.855032212699</v>
      </c>
      <c r="AL4">
        <v>10666.6152913162</v>
      </c>
      <c r="AM4">
        <v>12967.0347651595</v>
      </c>
      <c r="AN4">
        <v>11240.301082677001</v>
      </c>
      <c r="AO4">
        <v>11197.934896819699</v>
      </c>
      <c r="AP4">
        <v>7498.7341329451601</v>
      </c>
      <c r="AQ4">
        <v>8325.4465509098409</v>
      </c>
      <c r="AR4">
        <v>9910.1531833797708</v>
      </c>
      <c r="AS4">
        <v>13039.6184321864</v>
      </c>
      <c r="AT4">
        <v>11272.7367399657</v>
      </c>
      <c r="AU4">
        <v>9928.1323133950791</v>
      </c>
      <c r="AV4">
        <v>11885.6159616235</v>
      </c>
      <c r="AW4">
        <v>12936.8920236308</v>
      </c>
      <c r="AX4">
        <v>10532.4148490557</v>
      </c>
      <c r="AY4">
        <v>10998.567307588901</v>
      </c>
      <c r="AZ4">
        <v>10714.0127196987</v>
      </c>
      <c r="BA4">
        <v>10399.176233566801</v>
      </c>
      <c r="BB4">
        <v>8952.9299686908398</v>
      </c>
      <c r="BC4">
        <v>8816.5687280158309</v>
      </c>
      <c r="BD4">
        <v>11870.262315008</v>
      </c>
      <c r="BE4">
        <v>12989.0761879899</v>
      </c>
      <c r="BF4">
        <v>9924.2915962016596</v>
      </c>
      <c r="BG4">
        <v>9878.67511754712</v>
      </c>
      <c r="BH4">
        <v>7097.36981295233</v>
      </c>
      <c r="BI4">
        <v>6840.8049789659399</v>
      </c>
      <c r="BJ4">
        <v>13680.075006528001</v>
      </c>
      <c r="BK4">
        <v>9067.5491325522307</v>
      </c>
      <c r="BL4">
        <v>5406.6265471510596</v>
      </c>
      <c r="BM4">
        <v>16523.1916351779</v>
      </c>
      <c r="BN4">
        <v>9377.7818676424395</v>
      </c>
      <c r="BO4">
        <v>7547.1921849806204</v>
      </c>
      <c r="BP4">
        <v>10731.082715444199</v>
      </c>
      <c r="BQ4">
        <v>12284.350663886</v>
      </c>
      <c r="BR4">
        <v>11998.914815792001</v>
      </c>
      <c r="BS4">
        <v>12537.407160046299</v>
      </c>
      <c r="BT4">
        <v>8595.1266097605003</v>
      </c>
      <c r="BU4">
        <v>13609.3440496206</v>
      </c>
      <c r="BV4">
        <v>13781.1579775268</v>
      </c>
      <c r="BW4">
        <v>13911.464258145999</v>
      </c>
      <c r="BX4">
        <v>11075.4360465183</v>
      </c>
      <c r="BY4">
        <v>9771.2199732447807</v>
      </c>
      <c r="BZ4">
        <v>9597.2551213699007</v>
      </c>
      <c r="CA4">
        <v>7539.0462123154002</v>
      </c>
      <c r="CB4">
        <v>9418.6498132199395</v>
      </c>
      <c r="CC4">
        <v>6219.24253560747</v>
      </c>
      <c r="CD4">
        <v>7336.1458984618403</v>
      </c>
      <c r="CE4">
        <v>11052.298108762299</v>
      </c>
      <c r="CF4">
        <v>9991.4129414476793</v>
      </c>
      <c r="CG4">
        <v>10955.6591380721</v>
      </c>
      <c r="CH4">
        <v>12088.210820145199</v>
      </c>
      <c r="CI4">
        <v>11355.7352755182</v>
      </c>
      <c r="CJ4">
        <v>11159.3583241284</v>
      </c>
      <c r="CK4">
        <v>10335.5970822495</v>
      </c>
      <c r="CL4">
        <v>9002.3908846864197</v>
      </c>
      <c r="CM4">
        <v>8097.25459938736</v>
      </c>
      <c r="CN4">
        <v>9467.9250949718698</v>
      </c>
      <c r="CO4">
        <v>10369.9937531592</v>
      </c>
      <c r="CP4">
        <v>10627.672475705</v>
      </c>
      <c r="CQ4">
        <v>12543.048728882301</v>
      </c>
      <c r="CR4">
        <v>10184.463977343899</v>
      </c>
      <c r="CS4">
        <v>11723.8127108391</v>
      </c>
      <c r="CT4">
        <v>7740.3401973390201</v>
      </c>
      <c r="CU4">
        <v>11083.783113695699</v>
      </c>
      <c r="CV4">
        <v>10926.209523690801</v>
      </c>
      <c r="CW4">
        <v>13610.3544083172</v>
      </c>
      <c r="CX4">
        <v>13610.3544083172</v>
      </c>
    </row>
    <row r="5" spans="1:102" x14ac:dyDescent="0.2">
      <c r="A5">
        <v>4</v>
      </c>
      <c r="B5">
        <v>8130.0055831354548</v>
      </c>
      <c r="C5">
        <v>7620.6315991700503</v>
      </c>
      <c r="D5">
        <v>4724.8963766014203</v>
      </c>
      <c r="E5">
        <v>7556.4100029428801</v>
      </c>
      <c r="F5">
        <v>9231.6524504092195</v>
      </c>
      <c r="G5">
        <v>6267.34710179794</v>
      </c>
      <c r="H5">
        <v>8407.9249043543696</v>
      </c>
      <c r="I5">
        <v>6204.8604063922703</v>
      </c>
      <c r="J5">
        <v>11337.458690822001</v>
      </c>
      <c r="K5">
        <v>7356.2269855165396</v>
      </c>
      <c r="L5">
        <v>6125.3198789927101</v>
      </c>
      <c r="M5">
        <v>7209.82589139846</v>
      </c>
      <c r="N5">
        <v>8418.28082571288</v>
      </c>
      <c r="O5">
        <v>8883.1858890995009</v>
      </c>
      <c r="P5">
        <v>10261.0817602636</v>
      </c>
      <c r="Q5">
        <v>7036.6989999185698</v>
      </c>
      <c r="R5">
        <v>9317.9988532866591</v>
      </c>
      <c r="S5">
        <v>5595.5317288258302</v>
      </c>
      <c r="T5">
        <v>6464.3512734770602</v>
      </c>
      <c r="U5">
        <v>5934.82717695062</v>
      </c>
      <c r="V5">
        <v>6788.1003140244602</v>
      </c>
      <c r="W5">
        <v>9230.63021199785</v>
      </c>
      <c r="X5">
        <v>7070.2584072223099</v>
      </c>
      <c r="Y5">
        <v>7330.7379193328698</v>
      </c>
      <c r="Z5">
        <v>8463.8203195070801</v>
      </c>
      <c r="AA5">
        <v>8806.8645019789092</v>
      </c>
      <c r="AB5">
        <v>7374.9570914065898</v>
      </c>
      <c r="AC5">
        <v>6455.5743991585896</v>
      </c>
      <c r="AD5">
        <v>10914.9190323151</v>
      </c>
      <c r="AE5">
        <v>7384.6876452024198</v>
      </c>
      <c r="AF5">
        <v>7530.5123737836002</v>
      </c>
      <c r="AG5">
        <v>7718.7483080124703</v>
      </c>
      <c r="AH5">
        <v>8994.5517615581302</v>
      </c>
      <c r="AI5">
        <v>5841.9447799546697</v>
      </c>
      <c r="AJ5">
        <v>11814.668045077</v>
      </c>
      <c r="AK5">
        <v>7489.0248681508801</v>
      </c>
      <c r="AL5">
        <v>9056.9205989489492</v>
      </c>
      <c r="AM5">
        <v>6139.21107037203</v>
      </c>
      <c r="AN5">
        <v>8290.0572090822207</v>
      </c>
      <c r="AO5">
        <v>11391.501620299499</v>
      </c>
      <c r="AP5">
        <v>11028.2567526684</v>
      </c>
      <c r="AQ5">
        <v>9007.9777661945409</v>
      </c>
      <c r="AR5">
        <v>6698.26251203624</v>
      </c>
      <c r="AS5">
        <v>10143.6677901025</v>
      </c>
      <c r="AT5">
        <v>5587.4493735882197</v>
      </c>
      <c r="AU5">
        <v>6650.5749154490404</v>
      </c>
      <c r="AV5">
        <v>7890.5513389585703</v>
      </c>
      <c r="AW5">
        <v>5684.8503444858798</v>
      </c>
      <c r="AX5">
        <v>7206.62192409819</v>
      </c>
      <c r="AY5">
        <v>9357.1712356030002</v>
      </c>
      <c r="AZ5">
        <v>6922.9689106479</v>
      </c>
      <c r="BA5">
        <v>9448.6810394589193</v>
      </c>
      <c r="BB5">
        <v>12517.9711928422</v>
      </c>
      <c r="BC5">
        <v>8664.2297887486093</v>
      </c>
      <c r="BD5">
        <v>9414.4379950545499</v>
      </c>
      <c r="BE5">
        <v>10217.8966291121</v>
      </c>
      <c r="BF5">
        <v>7338.7184008754302</v>
      </c>
      <c r="BG5">
        <v>9367.83811485556</v>
      </c>
      <c r="BH5">
        <v>7303.1085756582597</v>
      </c>
      <c r="BI5">
        <v>8539.6476072353307</v>
      </c>
      <c r="BJ5">
        <v>9659.6381500094194</v>
      </c>
      <c r="BK5">
        <v>6759.0886224332098</v>
      </c>
      <c r="BL5">
        <v>4827.2760374054096</v>
      </c>
      <c r="BM5">
        <v>6632.4417208566801</v>
      </c>
      <c r="BN5">
        <v>9956.8019846687694</v>
      </c>
      <c r="BO5">
        <v>6469.2399207519502</v>
      </c>
      <c r="BP5">
        <v>9838.2755602624893</v>
      </c>
      <c r="BQ5">
        <v>6638.9620878239302</v>
      </c>
      <c r="BR5">
        <v>7669.0907676726001</v>
      </c>
      <c r="BS5">
        <v>7999.5844194566298</v>
      </c>
      <c r="BT5">
        <v>6463.2742703968297</v>
      </c>
      <c r="BU5">
        <v>7686.1040843302499</v>
      </c>
      <c r="BV5">
        <v>5752.1051585574296</v>
      </c>
      <c r="BW5">
        <v>7468.0201825654904</v>
      </c>
      <c r="BX5">
        <v>7867.2651140175603</v>
      </c>
      <c r="BY5">
        <v>4873.0299335173904</v>
      </c>
      <c r="BZ5">
        <v>6621.4489995563999</v>
      </c>
      <c r="CA5">
        <v>8486.7297909437802</v>
      </c>
      <c r="CB5">
        <v>6317.4254876230398</v>
      </c>
      <c r="CC5">
        <v>8766.8365405938603</v>
      </c>
      <c r="CD5">
        <v>8940.9286673539991</v>
      </c>
      <c r="CE5">
        <v>8479.2807609172705</v>
      </c>
      <c r="CF5">
        <v>9344.5114450463807</v>
      </c>
      <c r="CG5">
        <v>5679.4423972946197</v>
      </c>
      <c r="CH5">
        <v>9750.7659164062607</v>
      </c>
      <c r="CI5">
        <v>6483.5110114061599</v>
      </c>
      <c r="CJ5">
        <v>8182.6246297211801</v>
      </c>
      <c r="CK5">
        <v>11289.3096638632</v>
      </c>
      <c r="CL5">
        <v>7436.0901177088299</v>
      </c>
      <c r="CM5">
        <v>8040.1149914636399</v>
      </c>
      <c r="CN5">
        <v>6491.2992421619201</v>
      </c>
      <c r="CO5">
        <v>11264.1238626341</v>
      </c>
      <c r="CP5">
        <v>6624.3431271069303</v>
      </c>
      <c r="CQ5">
        <v>9099.6654076254199</v>
      </c>
      <c r="CR5">
        <v>10213.987948280301</v>
      </c>
      <c r="CS5">
        <v>9277.1657395894508</v>
      </c>
      <c r="CT5">
        <v>8584.7115770847595</v>
      </c>
      <c r="CU5">
        <v>8157.4233828711804</v>
      </c>
      <c r="CV5">
        <v>6126.9773402154196</v>
      </c>
      <c r="CW5">
        <v>11150.7372089498</v>
      </c>
      <c r="CX5">
        <v>11150.7372089498</v>
      </c>
    </row>
    <row r="6" spans="1:102" ht="16" x14ac:dyDescent="0.2">
      <c r="A6">
        <v>5</v>
      </c>
      <c r="B6" s="12">
        <v>8130.0055831354548</v>
      </c>
      <c r="C6">
        <v>8440.9078414937903</v>
      </c>
      <c r="D6">
        <v>8041.0886513124697</v>
      </c>
      <c r="E6">
        <v>6381.9539230699302</v>
      </c>
      <c r="F6">
        <v>8119.5321257825099</v>
      </c>
      <c r="G6">
        <v>7939.1995939398903</v>
      </c>
      <c r="H6">
        <v>11289.2420066949</v>
      </c>
      <c r="I6">
        <v>8040.1055242865104</v>
      </c>
      <c r="J6">
        <v>8093.2261170090997</v>
      </c>
      <c r="K6">
        <v>6397.2817837974499</v>
      </c>
      <c r="L6">
        <v>6875.8988196689897</v>
      </c>
      <c r="M6">
        <v>8875.9466314026304</v>
      </c>
      <c r="N6">
        <v>5468.0659158697799</v>
      </c>
      <c r="O6">
        <v>9739.6515535318395</v>
      </c>
      <c r="P6">
        <v>9795.1518154081296</v>
      </c>
      <c r="Q6">
        <v>6732.6971366833104</v>
      </c>
      <c r="R6">
        <v>8591.1574398135308</v>
      </c>
      <c r="S6">
        <v>10285.622465212</v>
      </c>
      <c r="T6">
        <v>7809.9294405845803</v>
      </c>
      <c r="U6">
        <v>7517.1680224497204</v>
      </c>
      <c r="V6">
        <v>7699.6226504781798</v>
      </c>
      <c r="W6">
        <v>8437.0175111057306</v>
      </c>
      <c r="X6">
        <v>7049.3598709133103</v>
      </c>
      <c r="Y6">
        <v>7389.6970508224304</v>
      </c>
      <c r="Z6">
        <v>8471.0045652321605</v>
      </c>
      <c r="AA6">
        <v>7269.1754837656899</v>
      </c>
      <c r="AB6">
        <v>6287.2829855994696</v>
      </c>
      <c r="AC6">
        <v>5374.6069383003896</v>
      </c>
      <c r="AD6">
        <v>8071.6444580433199</v>
      </c>
      <c r="AE6">
        <v>10146.824112193</v>
      </c>
      <c r="AF6">
        <v>8678.2318133056797</v>
      </c>
      <c r="AG6">
        <v>6334.4932023006704</v>
      </c>
      <c r="AH6">
        <v>6866.0023517560603</v>
      </c>
      <c r="AI6">
        <v>7506.1063032913698</v>
      </c>
      <c r="AJ6">
        <v>11370.214685126701</v>
      </c>
      <c r="AK6">
        <v>11508.693927533401</v>
      </c>
      <c r="AL6">
        <v>11200.4918391396</v>
      </c>
      <c r="AM6">
        <v>8235.1476004249998</v>
      </c>
      <c r="AN6">
        <v>14329.1465376178</v>
      </c>
      <c r="AO6">
        <v>6932.6513159878396</v>
      </c>
      <c r="AP6">
        <v>7451.2779857908999</v>
      </c>
      <c r="AQ6">
        <v>9580.4194967912699</v>
      </c>
      <c r="AR6">
        <v>8480.0051240519097</v>
      </c>
      <c r="AS6">
        <v>8577.6021622921508</v>
      </c>
      <c r="AT6">
        <v>5282.2383860596001</v>
      </c>
      <c r="AU6">
        <v>6537.7619479274599</v>
      </c>
      <c r="AV6">
        <v>7927.6334280841102</v>
      </c>
      <c r="AW6">
        <v>6952.8327748095699</v>
      </c>
      <c r="AX6">
        <v>6043.2372666694801</v>
      </c>
      <c r="AY6">
        <v>7113.5568835979402</v>
      </c>
      <c r="AZ6">
        <v>8480.4884659870404</v>
      </c>
      <c r="BA6">
        <v>9249.1988875574498</v>
      </c>
      <c r="BB6">
        <v>5337.4669032142801</v>
      </c>
      <c r="BC6">
        <v>8001.7247607924201</v>
      </c>
      <c r="BD6">
        <v>7855.72585966734</v>
      </c>
      <c r="BE6">
        <v>8391.4557112250095</v>
      </c>
      <c r="BF6">
        <v>6357.5316860295898</v>
      </c>
      <c r="BG6">
        <v>6382.1584896385002</v>
      </c>
      <c r="BH6">
        <v>10205.0387758364</v>
      </c>
      <c r="BI6">
        <v>4621.5005864851601</v>
      </c>
      <c r="BJ6">
        <v>6749.9696222388702</v>
      </c>
      <c r="BK6">
        <v>7379.92086014305</v>
      </c>
      <c r="BL6">
        <v>7528.5577702362398</v>
      </c>
      <c r="BM6">
        <v>6978.5427941729104</v>
      </c>
      <c r="BN6">
        <v>8820.1740506747192</v>
      </c>
      <c r="BO6">
        <v>8667.6113291900401</v>
      </c>
      <c r="BP6">
        <v>7785.8162637651303</v>
      </c>
      <c r="BQ6">
        <v>7058.04494021961</v>
      </c>
      <c r="BR6">
        <v>7662.9866367672003</v>
      </c>
      <c r="BS6">
        <v>8135.0651228491097</v>
      </c>
      <c r="BT6">
        <v>6867.6566262617098</v>
      </c>
      <c r="BU6">
        <v>8952.8157783263196</v>
      </c>
      <c r="BV6">
        <v>9724.4093130628899</v>
      </c>
      <c r="BW6">
        <v>10572.223010998299</v>
      </c>
      <c r="BX6">
        <v>10431.3684626004</v>
      </c>
      <c r="BY6">
        <v>7519.0242699102</v>
      </c>
      <c r="BZ6">
        <v>8215.7151418407593</v>
      </c>
      <c r="CA6">
        <v>7756.2214994368396</v>
      </c>
      <c r="CB6">
        <v>7750.5974555442999</v>
      </c>
      <c r="CC6">
        <v>7652.2792609923899</v>
      </c>
      <c r="CD6">
        <v>8031.3271227349296</v>
      </c>
      <c r="CE6">
        <v>10054.761052203399</v>
      </c>
      <c r="CF6">
        <v>8532.1442712578792</v>
      </c>
      <c r="CG6">
        <v>6302.6938779442899</v>
      </c>
      <c r="CH6">
        <v>9638.1477058445198</v>
      </c>
      <c r="CI6">
        <v>8368.2586133974601</v>
      </c>
      <c r="CJ6">
        <v>8840.6499825764695</v>
      </c>
      <c r="CK6">
        <v>8498.0915942797201</v>
      </c>
      <c r="CL6">
        <v>8576.3492646127197</v>
      </c>
      <c r="CM6">
        <v>8656.0414689983409</v>
      </c>
      <c r="CN6">
        <v>5547.5659535553696</v>
      </c>
      <c r="CO6">
        <v>8817.8579614964001</v>
      </c>
      <c r="CP6">
        <v>6925.56470190866</v>
      </c>
      <c r="CQ6">
        <v>7264.9579910524299</v>
      </c>
      <c r="CR6">
        <v>8018.5051058727304</v>
      </c>
      <c r="CS6">
        <v>10926.6986612727</v>
      </c>
      <c r="CT6">
        <v>6509.1615945143803</v>
      </c>
      <c r="CU6">
        <v>7964.2270831943097</v>
      </c>
      <c r="CV6">
        <v>7615.4589863376996</v>
      </c>
      <c r="CW6">
        <v>9609.0950148060692</v>
      </c>
      <c r="CX6">
        <v>9609.0950148060692</v>
      </c>
    </row>
    <row r="7" spans="1:102" ht="16" x14ac:dyDescent="0.2">
      <c r="A7">
        <v>6</v>
      </c>
      <c r="B7" s="12">
        <v>4934.4589190275537</v>
      </c>
      <c r="C7">
        <v>4596.6725540197403</v>
      </c>
      <c r="D7">
        <v>5090.6822526078704</v>
      </c>
      <c r="E7">
        <v>3952.94209332428</v>
      </c>
      <c r="F7">
        <v>6033.84480973682</v>
      </c>
      <c r="G7">
        <v>3607.6381227349202</v>
      </c>
      <c r="H7">
        <v>5337.17603250914</v>
      </c>
      <c r="I7">
        <v>5097.1074204731403</v>
      </c>
      <c r="J7">
        <v>5244.9726877124203</v>
      </c>
      <c r="K7">
        <v>3617.7401156933702</v>
      </c>
      <c r="L7">
        <v>4577.9953075042404</v>
      </c>
      <c r="M7">
        <v>5772.8967627171196</v>
      </c>
      <c r="N7">
        <v>6848.0110248817</v>
      </c>
      <c r="O7">
        <v>4761.88507053585</v>
      </c>
      <c r="P7">
        <v>5659.7262416639396</v>
      </c>
      <c r="Q7">
        <v>4997.9813149657402</v>
      </c>
      <c r="R7">
        <v>4810.7828406756298</v>
      </c>
      <c r="S7">
        <v>4473.5597587632001</v>
      </c>
      <c r="T7">
        <v>4871.60101767787</v>
      </c>
      <c r="U7">
        <v>5555.5226202880704</v>
      </c>
      <c r="V7">
        <v>5648.2732152527697</v>
      </c>
      <c r="W7">
        <v>3755.7378099213101</v>
      </c>
      <c r="X7">
        <v>4394.1032746644896</v>
      </c>
      <c r="Y7">
        <v>3914.39326462395</v>
      </c>
      <c r="Z7">
        <v>4919.9904388902896</v>
      </c>
      <c r="AA7">
        <v>4545.8813018052597</v>
      </c>
      <c r="AB7">
        <v>5209.5005554142199</v>
      </c>
      <c r="AC7">
        <v>5281.5688793356103</v>
      </c>
      <c r="AD7">
        <v>3080.8209417131202</v>
      </c>
      <c r="AE7">
        <v>3028.9072617645202</v>
      </c>
      <c r="AF7">
        <v>4864.1258871793498</v>
      </c>
      <c r="AG7">
        <v>6128.1575034171901</v>
      </c>
      <c r="AH7">
        <v>4394.4545332104199</v>
      </c>
      <c r="AI7">
        <v>4369.2732210448103</v>
      </c>
      <c r="AJ7">
        <v>5900.7588291356096</v>
      </c>
      <c r="AK7">
        <v>5701.9422556542104</v>
      </c>
      <c r="AL7">
        <v>3991.3901929121098</v>
      </c>
      <c r="AM7">
        <v>5586.0723493653004</v>
      </c>
      <c r="AN7">
        <v>4158.9502947295696</v>
      </c>
      <c r="AO7">
        <v>4360.3913279906901</v>
      </c>
      <c r="AP7">
        <v>3990.6746552191898</v>
      </c>
      <c r="AQ7">
        <v>3750.0163981473902</v>
      </c>
      <c r="AR7">
        <v>4976.94572025039</v>
      </c>
      <c r="AS7">
        <v>3639.4598420819598</v>
      </c>
      <c r="AT7">
        <v>5017.03739836356</v>
      </c>
      <c r="AU7">
        <v>4985.6054086174599</v>
      </c>
      <c r="AV7">
        <v>4719.5587211203001</v>
      </c>
      <c r="AW7">
        <v>4434.7608163770001</v>
      </c>
      <c r="AX7">
        <v>4263.9231653864699</v>
      </c>
      <c r="AY7">
        <v>3891.6211496445699</v>
      </c>
      <c r="AZ7">
        <v>6427.1524016101203</v>
      </c>
      <c r="BA7">
        <v>4678.2001242216102</v>
      </c>
      <c r="BB7">
        <v>4647.3340598936702</v>
      </c>
      <c r="BC7">
        <v>4027.48900725161</v>
      </c>
      <c r="BD7">
        <v>6279.5259107141701</v>
      </c>
      <c r="BE7">
        <v>4315.9834272117996</v>
      </c>
      <c r="BF7">
        <v>5111.5447698161997</v>
      </c>
      <c r="BG7">
        <v>5305.1658188899401</v>
      </c>
      <c r="BH7">
        <v>4977.6898176602599</v>
      </c>
      <c r="BI7">
        <v>3622.6958991238498</v>
      </c>
      <c r="BJ7">
        <v>5537.5218271493404</v>
      </c>
      <c r="BK7">
        <v>4307.3917589879302</v>
      </c>
      <c r="BL7">
        <v>5690.24559497476</v>
      </c>
      <c r="BM7">
        <v>4253.4438815428803</v>
      </c>
      <c r="BN7">
        <v>4803.2053825217299</v>
      </c>
      <c r="BO7">
        <v>5369.7453457821903</v>
      </c>
      <c r="BP7">
        <v>6190.4503767337001</v>
      </c>
      <c r="BQ7">
        <v>5495.8141841608103</v>
      </c>
      <c r="BR7">
        <v>5396.0581273866101</v>
      </c>
      <c r="BS7">
        <v>5588.38987585831</v>
      </c>
      <c r="BT7">
        <v>4130.5302318443701</v>
      </c>
      <c r="BU7">
        <v>5739.6467347382304</v>
      </c>
      <c r="BV7">
        <v>4607.1727881840798</v>
      </c>
      <c r="BW7">
        <v>4636.7508757780897</v>
      </c>
      <c r="BX7">
        <v>4946.5092367838997</v>
      </c>
      <c r="BY7">
        <v>4523.03382362707</v>
      </c>
      <c r="BZ7">
        <v>3962.4069382299699</v>
      </c>
      <c r="CA7">
        <v>4871.7140512344204</v>
      </c>
      <c r="CB7">
        <v>4641.1246600106497</v>
      </c>
      <c r="CC7">
        <v>4608.6084319600404</v>
      </c>
      <c r="CD7">
        <v>4772.7966938371801</v>
      </c>
      <c r="CE7">
        <v>3088.4155169901401</v>
      </c>
      <c r="CF7">
        <v>4615.3043378598204</v>
      </c>
      <c r="CG7">
        <v>6352.6295677693497</v>
      </c>
      <c r="CH7">
        <v>6244.0858584050802</v>
      </c>
      <c r="CI7">
        <v>4905.2514840386602</v>
      </c>
      <c r="CJ7">
        <v>4872.3885108180602</v>
      </c>
      <c r="CK7">
        <v>2930.4074998097099</v>
      </c>
      <c r="CL7">
        <v>4355.3762332844099</v>
      </c>
      <c r="CM7">
        <v>5576.9860761125101</v>
      </c>
      <c r="CN7">
        <v>4501.6240099459401</v>
      </c>
      <c r="CO7">
        <v>5949.9921859993301</v>
      </c>
      <c r="CP7">
        <v>5874.6340368863102</v>
      </c>
      <c r="CQ7">
        <v>4338.7311912385403</v>
      </c>
      <c r="CR7">
        <v>4977.9061026708096</v>
      </c>
      <c r="CS7">
        <v>6460.0357232624201</v>
      </c>
      <c r="CT7">
        <v>3606.9622134975598</v>
      </c>
      <c r="CU7">
        <v>4521.1765459109602</v>
      </c>
      <c r="CV7">
        <v>3535.49162632966</v>
      </c>
      <c r="CW7">
        <v>4072.6079479865398</v>
      </c>
      <c r="CX7">
        <v>4072.6079479865398</v>
      </c>
    </row>
    <row r="8" spans="1:102" ht="16" x14ac:dyDescent="0.2">
      <c r="A8">
        <v>7</v>
      </c>
      <c r="B8" s="12">
        <v>10536.754924909497</v>
      </c>
      <c r="C8">
        <v>14642.222545921701</v>
      </c>
      <c r="D8">
        <v>9653.6130922936809</v>
      </c>
      <c r="E8">
        <v>6891.74464617383</v>
      </c>
      <c r="F8">
        <v>8444.2707210498593</v>
      </c>
      <c r="G8">
        <v>7393.4945472322597</v>
      </c>
      <c r="H8">
        <v>10710.4929914275</v>
      </c>
      <c r="I8">
        <v>11294.853742732999</v>
      </c>
      <c r="J8">
        <v>12289.928467855299</v>
      </c>
      <c r="K8">
        <v>11778.0619514398</v>
      </c>
      <c r="L8">
        <v>7773.0900341786401</v>
      </c>
      <c r="M8">
        <v>11179.971684149399</v>
      </c>
      <c r="N8">
        <v>10103.925056652701</v>
      </c>
      <c r="O8">
        <v>12651.064396993401</v>
      </c>
      <c r="P8">
        <v>12046.8389123449</v>
      </c>
      <c r="Q8">
        <v>15063.715354944599</v>
      </c>
      <c r="R8">
        <v>8574.9006077925806</v>
      </c>
      <c r="S8">
        <v>8334.6308057255392</v>
      </c>
      <c r="T8">
        <v>9411.3851273871296</v>
      </c>
      <c r="U8">
        <v>10183.3921340708</v>
      </c>
      <c r="V8">
        <v>9047.8646242442192</v>
      </c>
      <c r="W8">
        <v>8661.7630629830201</v>
      </c>
      <c r="X8">
        <v>11031.549288402801</v>
      </c>
      <c r="Y8">
        <v>9405.7381658436097</v>
      </c>
      <c r="Z8">
        <v>8973.0044592259601</v>
      </c>
      <c r="AA8">
        <v>7770.2938081715602</v>
      </c>
      <c r="AB8">
        <v>6362.1976568633299</v>
      </c>
      <c r="AC8">
        <v>13423.676692236901</v>
      </c>
      <c r="AD8">
        <v>13338.493547033901</v>
      </c>
      <c r="AE8">
        <v>12121.9020395352</v>
      </c>
      <c r="AF8">
        <v>11532.0477907476</v>
      </c>
      <c r="AG8">
        <v>9235.3085104150396</v>
      </c>
      <c r="AH8">
        <v>11627.047287543301</v>
      </c>
      <c r="AI8">
        <v>8218.6788961586099</v>
      </c>
      <c r="AJ8">
        <v>10578.3963540977</v>
      </c>
      <c r="AK8">
        <v>8823.9832043192691</v>
      </c>
      <c r="AL8">
        <v>11636.8592547636</v>
      </c>
      <c r="AM8">
        <v>13994.8390055575</v>
      </c>
      <c r="AN8">
        <v>8438.0046767116</v>
      </c>
      <c r="AO8">
        <v>9323.9344231850591</v>
      </c>
      <c r="AP8">
        <v>10539.2285510855</v>
      </c>
      <c r="AQ8">
        <v>7052.8173309631802</v>
      </c>
      <c r="AR8">
        <v>7461.7866115605902</v>
      </c>
      <c r="AS8">
        <v>13905.486266719599</v>
      </c>
      <c r="AT8">
        <v>11041.263894112801</v>
      </c>
      <c r="AU8">
        <v>9135.3985135158891</v>
      </c>
      <c r="AV8">
        <v>10315.8029319778</v>
      </c>
      <c r="AW8">
        <v>9419.1476330467794</v>
      </c>
      <c r="AX8">
        <v>10601.5120247995</v>
      </c>
      <c r="AY8">
        <v>9488.0599009071593</v>
      </c>
      <c r="AZ8">
        <v>10156.3655654794</v>
      </c>
      <c r="BA8">
        <v>11844.6665108328</v>
      </c>
      <c r="BB8">
        <v>11688.879000872301</v>
      </c>
      <c r="BC8">
        <v>13734.795273673901</v>
      </c>
      <c r="BD8">
        <v>11196.873330283001</v>
      </c>
      <c r="BE8">
        <v>10445.2301608585</v>
      </c>
      <c r="BF8">
        <v>14169.583397336401</v>
      </c>
      <c r="BG8">
        <v>9946.5201916588703</v>
      </c>
      <c r="BH8">
        <v>6482.3988678597498</v>
      </c>
      <c r="BI8">
        <v>12152.722888976001</v>
      </c>
      <c r="BJ8">
        <v>10929.374168529899</v>
      </c>
      <c r="BK8">
        <v>10347.7065795708</v>
      </c>
      <c r="BL8">
        <v>12218.7200293392</v>
      </c>
      <c r="BM8">
        <v>9504.0291637820592</v>
      </c>
      <c r="BN8">
        <v>6545.8818727022299</v>
      </c>
      <c r="BO8">
        <v>12268.4042205519</v>
      </c>
      <c r="BP8">
        <v>9072.3018260297395</v>
      </c>
      <c r="BQ8">
        <v>8503.6344000518293</v>
      </c>
      <c r="BR8">
        <v>6615.00793597139</v>
      </c>
      <c r="BS8">
        <v>12055.4622923718</v>
      </c>
      <c r="BT8">
        <v>6020.0920225152804</v>
      </c>
      <c r="BU8">
        <v>13196.4845666988</v>
      </c>
      <c r="BV8">
        <v>9685.6452196511491</v>
      </c>
      <c r="BW8">
        <v>12173.0164064499</v>
      </c>
      <c r="BX8">
        <v>11264.975751181901</v>
      </c>
      <c r="BY8">
        <v>14733.106640100399</v>
      </c>
      <c r="BZ8">
        <v>11203.4552991077</v>
      </c>
      <c r="CA8">
        <v>13092.4921135812</v>
      </c>
      <c r="CB8">
        <v>9266.0857276293991</v>
      </c>
      <c r="CC8">
        <v>7455.9131940711504</v>
      </c>
      <c r="CD8">
        <v>12555.761881107799</v>
      </c>
      <c r="CE8">
        <v>7412.37024482786</v>
      </c>
      <c r="CF8">
        <v>12028.159379569201</v>
      </c>
      <c r="CG8">
        <v>8304.8868479063894</v>
      </c>
      <c r="CH8">
        <v>10971.954329338199</v>
      </c>
      <c r="CI8">
        <v>14794.6452348823</v>
      </c>
      <c r="CJ8">
        <v>11835.0935147364</v>
      </c>
      <c r="CK8">
        <v>9955.10885271183</v>
      </c>
      <c r="CL8">
        <v>11317.708860952</v>
      </c>
      <c r="CM8">
        <v>9332.2320739177794</v>
      </c>
      <c r="CN8">
        <v>16019.6602545075</v>
      </c>
      <c r="CO8">
        <v>8937.50739224887</v>
      </c>
      <c r="CP8">
        <v>10169.4657675494</v>
      </c>
      <c r="CQ8">
        <v>11618.2200239836</v>
      </c>
      <c r="CR8">
        <v>11152.010642888101</v>
      </c>
      <c r="CS8">
        <v>11402.943452986399</v>
      </c>
      <c r="CT8">
        <v>9370.4822438755109</v>
      </c>
      <c r="CU8">
        <v>9873.6659672626101</v>
      </c>
      <c r="CV8">
        <v>12434.7155329013</v>
      </c>
      <c r="CW8">
        <v>12307.0540642547</v>
      </c>
      <c r="CX8">
        <v>12307.0540642547</v>
      </c>
    </row>
    <row r="9" spans="1:102" ht="16" x14ac:dyDescent="0.2">
      <c r="A9">
        <v>8</v>
      </c>
      <c r="B9" s="12">
        <v>7339.8404661144232</v>
      </c>
      <c r="C9">
        <v>7805.6446896328698</v>
      </c>
      <c r="D9">
        <v>9357.2091318979492</v>
      </c>
      <c r="E9">
        <v>8733.2513091175297</v>
      </c>
      <c r="F9">
        <v>8519.4818953358608</v>
      </c>
      <c r="G9">
        <v>5144.3815442813402</v>
      </c>
      <c r="H9">
        <v>7786.6322796227996</v>
      </c>
      <c r="I9">
        <v>7503.53663011348</v>
      </c>
      <c r="J9">
        <v>9610.2425466544701</v>
      </c>
      <c r="K9">
        <v>3814.23177520848</v>
      </c>
      <c r="L9">
        <v>7004.5335595838396</v>
      </c>
      <c r="M9">
        <v>7380.1787712517498</v>
      </c>
      <c r="N9">
        <v>5770.3314373643298</v>
      </c>
      <c r="O9">
        <v>5986.9694515315196</v>
      </c>
      <c r="P9">
        <v>9616.9040100765997</v>
      </c>
      <c r="Q9">
        <v>7937.0745284350996</v>
      </c>
      <c r="R9">
        <v>10311.0697336045</v>
      </c>
      <c r="S9">
        <v>6979.1101874177102</v>
      </c>
      <c r="T9">
        <v>5374.6290310895602</v>
      </c>
      <c r="U9">
        <v>6779.7559216110103</v>
      </c>
      <c r="V9">
        <v>6548.4650100312701</v>
      </c>
      <c r="W9">
        <v>8302.8692132828292</v>
      </c>
      <c r="X9">
        <v>8234.4982999767908</v>
      </c>
      <c r="Y9">
        <v>8016.3685228968097</v>
      </c>
      <c r="Z9">
        <v>11004.0811429599</v>
      </c>
      <c r="AA9">
        <v>9240.6005901425997</v>
      </c>
      <c r="AB9">
        <v>6069.1134896275498</v>
      </c>
      <c r="AC9">
        <v>8792.6926587143498</v>
      </c>
      <c r="AD9">
        <v>7282.9133405255197</v>
      </c>
      <c r="AE9">
        <v>6940.8981529919101</v>
      </c>
      <c r="AF9">
        <v>9483.2767420221808</v>
      </c>
      <c r="AG9">
        <v>5992.5967180965699</v>
      </c>
      <c r="AH9">
        <v>8669.9019469904197</v>
      </c>
      <c r="AI9">
        <v>8384.3214295727994</v>
      </c>
      <c r="AJ9">
        <v>5970.0752958756402</v>
      </c>
      <c r="AK9">
        <v>5109.41190608324</v>
      </c>
      <c r="AL9">
        <v>7120.9754105153697</v>
      </c>
      <c r="AM9">
        <v>3730.62824168523</v>
      </c>
      <c r="AN9">
        <v>9002.3569065206102</v>
      </c>
      <c r="AO9">
        <v>7780.5998714513298</v>
      </c>
      <c r="AP9">
        <v>9548.9097462330101</v>
      </c>
      <c r="AQ9">
        <v>7673.1841030001096</v>
      </c>
      <c r="AR9">
        <v>9685.85451104813</v>
      </c>
      <c r="AS9">
        <v>6410.9550929945299</v>
      </c>
      <c r="AT9">
        <v>8011.2181096144805</v>
      </c>
      <c r="AU9">
        <v>6680.80416404896</v>
      </c>
      <c r="AV9">
        <v>7076.7141836454803</v>
      </c>
      <c r="AW9">
        <v>7375.09956023636</v>
      </c>
      <c r="AX9">
        <v>7775.5957652507695</v>
      </c>
      <c r="AY9">
        <v>6235.9370675198197</v>
      </c>
      <c r="AZ9">
        <v>7933.1899833419602</v>
      </c>
      <c r="BA9">
        <v>7300.8346373214299</v>
      </c>
      <c r="BB9">
        <v>5434.0853475097801</v>
      </c>
      <c r="BC9">
        <v>4958.2045019936104</v>
      </c>
      <c r="BD9">
        <v>9009.4445609951199</v>
      </c>
      <c r="BE9">
        <v>4420.70457825023</v>
      </c>
      <c r="BF9">
        <v>7007.1750726057599</v>
      </c>
      <c r="BG9">
        <v>5318.2692444374097</v>
      </c>
      <c r="BH9">
        <v>10025.0103160484</v>
      </c>
      <c r="BI9">
        <v>8094.8161025817999</v>
      </c>
      <c r="BJ9">
        <v>7733.8151433543899</v>
      </c>
      <c r="BK9">
        <v>6124.5906028830996</v>
      </c>
      <c r="BL9">
        <v>5418.7544646877404</v>
      </c>
      <c r="BM9">
        <v>7505.7459587993599</v>
      </c>
      <c r="BN9">
        <v>7208.9477572650503</v>
      </c>
      <c r="BO9">
        <v>5788.9826893033496</v>
      </c>
      <c r="BP9">
        <v>5748.5267121017696</v>
      </c>
      <c r="BQ9">
        <v>5691.0946775645398</v>
      </c>
      <c r="BR9">
        <v>5652.2012292980098</v>
      </c>
      <c r="BS9">
        <v>6368.8575455174496</v>
      </c>
      <c r="BT9">
        <v>7734.3428867469602</v>
      </c>
      <c r="BU9">
        <v>7993.7956335865501</v>
      </c>
      <c r="BV9">
        <v>7179.2626365748401</v>
      </c>
      <c r="BW9">
        <v>7436.6760571046198</v>
      </c>
      <c r="BX9">
        <v>8070.9921064311702</v>
      </c>
      <c r="BY9">
        <v>4702.3905432071497</v>
      </c>
      <c r="BZ9">
        <v>7552.96008809666</v>
      </c>
      <c r="CA9">
        <v>9328.5138738345995</v>
      </c>
      <c r="CB9">
        <v>3926.9484995550902</v>
      </c>
      <c r="CC9">
        <v>6970.74227394626</v>
      </c>
      <c r="CD9">
        <v>8931.8039162196801</v>
      </c>
      <c r="CE9">
        <v>6996.3546456306804</v>
      </c>
      <c r="CF9">
        <v>8179.8692527740004</v>
      </c>
      <c r="CG9">
        <v>7702.5476157202702</v>
      </c>
      <c r="CH9">
        <v>5672.80794667382</v>
      </c>
      <c r="CI9">
        <v>5931.1383774379001</v>
      </c>
      <c r="CJ9">
        <v>5049.6879794228798</v>
      </c>
      <c r="CK9">
        <v>9685.7280336518597</v>
      </c>
      <c r="CL9">
        <v>8537.0458739985806</v>
      </c>
      <c r="CM9">
        <v>7090.0068827779996</v>
      </c>
      <c r="CN9">
        <v>6902.3442642126101</v>
      </c>
      <c r="CO9">
        <v>6132.7393737249004</v>
      </c>
      <c r="CP9">
        <v>7834.1312111010802</v>
      </c>
      <c r="CQ9">
        <v>6236.2914748749599</v>
      </c>
      <c r="CR9">
        <v>6722.0315739383304</v>
      </c>
      <c r="CS9">
        <v>6363.8159675297802</v>
      </c>
      <c r="CT9">
        <v>8426.2469395199805</v>
      </c>
      <c r="CU9">
        <v>7031.4364626628103</v>
      </c>
      <c r="CV9">
        <v>7447.9284635783097</v>
      </c>
      <c r="CW9">
        <v>5695.1354973997104</v>
      </c>
      <c r="CX9">
        <v>5695.1354973997104</v>
      </c>
    </row>
    <row r="10" spans="1:102" ht="16" x14ac:dyDescent="0.2">
      <c r="A10">
        <v>9</v>
      </c>
      <c r="B10" s="12">
        <v>6454.9802141265009</v>
      </c>
      <c r="C10">
        <v>5589.0456014806496</v>
      </c>
      <c r="D10">
        <v>6579.0011748663501</v>
      </c>
      <c r="E10">
        <v>4542.7751767850696</v>
      </c>
      <c r="F10">
        <v>6091.01952874582</v>
      </c>
      <c r="G10">
        <v>6352.3360502205096</v>
      </c>
      <c r="H10">
        <v>4883.3597242368696</v>
      </c>
      <c r="I10">
        <v>7781.3702301101303</v>
      </c>
      <c r="J10">
        <v>6822.62674302298</v>
      </c>
      <c r="K10">
        <v>6174.6879792137797</v>
      </c>
      <c r="L10">
        <v>5509.1997693172298</v>
      </c>
      <c r="M10">
        <v>4508.2457563735898</v>
      </c>
      <c r="N10">
        <v>7655.9893269048298</v>
      </c>
      <c r="O10">
        <v>5802.4401448567996</v>
      </c>
      <c r="P10">
        <v>4726.52843122988</v>
      </c>
      <c r="Q10">
        <v>5478.3967551986098</v>
      </c>
      <c r="R10">
        <v>6967.0352845669304</v>
      </c>
      <c r="S10">
        <v>6679.8119899715002</v>
      </c>
      <c r="T10">
        <v>5095.6255464508104</v>
      </c>
      <c r="U10">
        <v>7934.6506657236796</v>
      </c>
      <c r="V10">
        <v>4714.1421539925996</v>
      </c>
      <c r="W10">
        <v>8274.0869362022004</v>
      </c>
      <c r="X10">
        <v>6622.6072587812296</v>
      </c>
      <c r="Y10">
        <v>5889.3116521700904</v>
      </c>
      <c r="Z10">
        <v>6050.7300476958999</v>
      </c>
      <c r="AA10">
        <v>6470.2383212099703</v>
      </c>
      <c r="AB10">
        <v>7075.95634538372</v>
      </c>
      <c r="AC10">
        <v>4351.1424932770897</v>
      </c>
      <c r="AD10">
        <v>5442.9670103873204</v>
      </c>
      <c r="AE10">
        <v>6428.8040287231197</v>
      </c>
      <c r="AF10">
        <v>7998.3925439458799</v>
      </c>
      <c r="AG10">
        <v>7933.7041309890801</v>
      </c>
      <c r="AH10">
        <v>8633.9016922224491</v>
      </c>
      <c r="AI10">
        <v>7853.4959347391004</v>
      </c>
      <c r="AJ10">
        <v>5361.8644792240002</v>
      </c>
      <c r="AK10">
        <v>6347.0900692908799</v>
      </c>
      <c r="AL10">
        <v>7863.3383103445303</v>
      </c>
      <c r="AM10">
        <v>7701.09790256216</v>
      </c>
      <c r="AN10">
        <v>6111.1497870665598</v>
      </c>
      <c r="AO10">
        <v>7036.0284650036301</v>
      </c>
      <c r="AP10">
        <v>5796.0148946153004</v>
      </c>
      <c r="AQ10">
        <v>4640.7163098089504</v>
      </c>
      <c r="AR10">
        <v>6217.3153876317701</v>
      </c>
      <c r="AS10">
        <v>6142.5495351699001</v>
      </c>
      <c r="AT10">
        <v>5741.1047926130004</v>
      </c>
      <c r="AU10">
        <v>7081.6908091138203</v>
      </c>
      <c r="AV10">
        <v>6070.4905108878502</v>
      </c>
      <c r="AW10">
        <v>6880.1791418462199</v>
      </c>
      <c r="AX10">
        <v>7382.45062837143</v>
      </c>
      <c r="AY10">
        <v>9946.3991029338304</v>
      </c>
      <c r="AZ10">
        <v>6238.1690126395097</v>
      </c>
      <c r="BA10">
        <v>8022.1243986892596</v>
      </c>
      <c r="BB10">
        <v>6660.4596431035197</v>
      </c>
      <c r="BC10">
        <v>6737.36824656299</v>
      </c>
      <c r="BD10">
        <v>6255.0581303569097</v>
      </c>
      <c r="BE10">
        <v>6543.7669720376798</v>
      </c>
      <c r="BF10">
        <v>6081.7088064125301</v>
      </c>
      <c r="BG10">
        <v>7722.53170385455</v>
      </c>
      <c r="BH10">
        <v>5482.5292950856201</v>
      </c>
      <c r="BI10">
        <v>4631.8297458953302</v>
      </c>
      <c r="BJ10">
        <v>5703.8401892894699</v>
      </c>
      <c r="BK10">
        <v>5583.5344453765601</v>
      </c>
      <c r="BL10">
        <v>5703.2386959628802</v>
      </c>
      <c r="BM10">
        <v>6189.3090571806897</v>
      </c>
      <c r="BN10">
        <v>5707.4153146298404</v>
      </c>
      <c r="BO10">
        <v>6171.8946042786902</v>
      </c>
      <c r="BP10">
        <v>5710.91303669632</v>
      </c>
      <c r="BQ10">
        <v>6909.56914548033</v>
      </c>
      <c r="BR10">
        <v>9925.1046331817397</v>
      </c>
      <c r="BS10">
        <v>6633.63008896666</v>
      </c>
      <c r="BT10">
        <v>5756.9165574021399</v>
      </c>
      <c r="BU10">
        <v>3828.1296937786501</v>
      </c>
      <c r="BV10">
        <v>9134.0460444756009</v>
      </c>
      <c r="BW10">
        <v>6707.9244096045304</v>
      </c>
      <c r="BX10">
        <v>6160.9713591499403</v>
      </c>
      <c r="BY10">
        <v>3873.6416258569302</v>
      </c>
      <c r="BZ10">
        <v>6224.8905798135302</v>
      </c>
      <c r="CA10">
        <v>6532.6397039887897</v>
      </c>
      <c r="CB10">
        <v>5715.02957214861</v>
      </c>
      <c r="CC10">
        <v>4802.1768791335498</v>
      </c>
      <c r="CD10">
        <v>4739.45193738127</v>
      </c>
      <c r="CE10">
        <v>9166.7647985822896</v>
      </c>
      <c r="CF10">
        <v>6494.8990232536098</v>
      </c>
      <c r="CG10">
        <v>5714.0201322541898</v>
      </c>
      <c r="CH10">
        <v>6417.1534056561104</v>
      </c>
      <c r="CI10">
        <v>6329.4571745168696</v>
      </c>
      <c r="CJ10">
        <v>4692.9621651834595</v>
      </c>
      <c r="CK10">
        <v>7615.2625407462501</v>
      </c>
      <c r="CL10">
        <v>6128.9146695070604</v>
      </c>
      <c r="CM10">
        <v>6512.7749945427404</v>
      </c>
      <c r="CN10">
        <v>8457.5306156965798</v>
      </c>
      <c r="CO10">
        <v>4830.4681346016696</v>
      </c>
      <c r="CP10">
        <v>5426.2829865067297</v>
      </c>
      <c r="CQ10">
        <v>6779.8784650939497</v>
      </c>
      <c r="CR10">
        <v>7583.85876923262</v>
      </c>
      <c r="CS10">
        <v>5607.71622472949</v>
      </c>
      <c r="CT10">
        <v>5670.7492550166398</v>
      </c>
      <c r="CU10">
        <v>7209.7654021750404</v>
      </c>
      <c r="CV10">
        <v>9741.8750419295302</v>
      </c>
      <c r="CW10">
        <v>6459.6439831219004</v>
      </c>
      <c r="CX10">
        <v>6459.6439831219004</v>
      </c>
    </row>
    <row r="11" spans="1:102" ht="16" x14ac:dyDescent="0.2">
      <c r="A11">
        <v>10</v>
      </c>
      <c r="B11" s="12">
        <v>3400.7851508133499</v>
      </c>
      <c r="C11">
        <v>2857.0261060538601</v>
      </c>
      <c r="D11">
        <v>2690.6963270049901</v>
      </c>
      <c r="E11">
        <v>3258.9026695093598</v>
      </c>
      <c r="F11">
        <v>3957.1512339716701</v>
      </c>
      <c r="G11">
        <v>5634.0341540373702</v>
      </c>
      <c r="H11">
        <v>3149.6898101267202</v>
      </c>
      <c r="I11">
        <v>3404.33255943023</v>
      </c>
      <c r="J11">
        <v>4645.1116960744603</v>
      </c>
      <c r="K11">
        <v>3560.0639374841699</v>
      </c>
      <c r="L11">
        <v>3499.7913239367299</v>
      </c>
      <c r="M11">
        <v>4443.55871528635</v>
      </c>
      <c r="N11">
        <v>3420.3345735435801</v>
      </c>
      <c r="O11">
        <v>2733.9257227234002</v>
      </c>
      <c r="P11">
        <v>4243.3892542431004</v>
      </c>
      <c r="Q11">
        <v>2390.6964686312299</v>
      </c>
      <c r="R11">
        <v>4089.3551122572298</v>
      </c>
      <c r="S11">
        <v>3350.10383209771</v>
      </c>
      <c r="T11">
        <v>3156.3167302297602</v>
      </c>
      <c r="U11">
        <v>3140.17227317675</v>
      </c>
      <c r="V11">
        <v>3256.3934208451501</v>
      </c>
      <c r="W11">
        <v>3064.9500091897498</v>
      </c>
      <c r="X11">
        <v>3663.3316143846801</v>
      </c>
      <c r="Y11">
        <v>3086.2189969803699</v>
      </c>
      <c r="Z11">
        <v>2217.7809095871698</v>
      </c>
      <c r="AA11">
        <v>3355.0609305776602</v>
      </c>
      <c r="AB11">
        <v>4047.2729500496698</v>
      </c>
      <c r="AC11">
        <v>2190.7638488663802</v>
      </c>
      <c r="AD11">
        <v>3350.63544485375</v>
      </c>
      <c r="AE11">
        <v>3052.8084326246699</v>
      </c>
      <c r="AF11">
        <v>4025.8027386830699</v>
      </c>
      <c r="AG11">
        <v>3182.29050902176</v>
      </c>
      <c r="AH11">
        <v>3902.4358227131902</v>
      </c>
      <c r="AI11">
        <v>3810.0197857929702</v>
      </c>
      <c r="AJ11">
        <v>3831.5582002494298</v>
      </c>
      <c r="AK11">
        <v>4522.6128863322601</v>
      </c>
      <c r="AL11">
        <v>3204.76047387585</v>
      </c>
      <c r="AM11">
        <v>3394.37766116284</v>
      </c>
      <c r="AN11">
        <v>3643.4263983378</v>
      </c>
      <c r="AO11">
        <v>3415.2212722454401</v>
      </c>
      <c r="AP11">
        <v>3183.6749575281501</v>
      </c>
      <c r="AQ11">
        <v>2782.9707867263601</v>
      </c>
      <c r="AR11">
        <v>3362.8687169085001</v>
      </c>
      <c r="AS11">
        <v>2442.06570911469</v>
      </c>
      <c r="AT11">
        <v>2158.4361930995301</v>
      </c>
      <c r="AU11">
        <v>2655.1942053851499</v>
      </c>
      <c r="AV11">
        <v>3822.4011807355901</v>
      </c>
      <c r="AW11">
        <v>3514.1352549949902</v>
      </c>
      <c r="AX11">
        <v>3830.3182783163002</v>
      </c>
      <c r="AY11">
        <v>2909.3390961287801</v>
      </c>
      <c r="AZ11">
        <v>4111.1531548632101</v>
      </c>
      <c r="BA11">
        <v>2497.3664608702902</v>
      </c>
      <c r="BB11">
        <v>2674.7175802790098</v>
      </c>
      <c r="BC11">
        <v>4095.9752861543998</v>
      </c>
      <c r="BD11">
        <v>3462.7939669165598</v>
      </c>
      <c r="BE11">
        <v>3835.05011811125</v>
      </c>
      <c r="BF11">
        <v>3517.1236367094798</v>
      </c>
      <c r="BG11">
        <v>2990.01250233669</v>
      </c>
      <c r="BH11">
        <v>2611.4741377128798</v>
      </c>
      <c r="BI11">
        <v>2265.5489945642898</v>
      </c>
      <c r="BJ11">
        <v>4731.93463694599</v>
      </c>
      <c r="BK11">
        <v>2372.3807921869802</v>
      </c>
      <c r="BL11">
        <v>4410.8471994008896</v>
      </c>
      <c r="BM11">
        <v>3424.4477056196502</v>
      </c>
      <c r="BN11">
        <v>3538.8956674340002</v>
      </c>
      <c r="BO11">
        <v>3492.1314602467201</v>
      </c>
      <c r="BP11">
        <v>3735.72528021982</v>
      </c>
      <c r="BQ11">
        <v>2853.6444623255202</v>
      </c>
      <c r="BR11">
        <v>2099.42717774326</v>
      </c>
      <c r="BS11">
        <v>2977.6502097283901</v>
      </c>
      <c r="BT11">
        <v>3670.9042274026601</v>
      </c>
      <c r="BU11">
        <v>2679.8755343708399</v>
      </c>
      <c r="BV11">
        <v>4132.5107079291602</v>
      </c>
      <c r="BW11">
        <v>3268.3591625732502</v>
      </c>
      <c r="BX11">
        <v>2630.6440442252901</v>
      </c>
      <c r="BY11">
        <v>3455.9607899677899</v>
      </c>
      <c r="BZ11">
        <v>3658.3222735720001</v>
      </c>
      <c r="CA11">
        <v>3711.8000635261901</v>
      </c>
      <c r="CB11">
        <v>1745.2715029062001</v>
      </c>
      <c r="CC11">
        <v>1688.8793326785999</v>
      </c>
      <c r="CD11">
        <v>4096.9393304155001</v>
      </c>
      <c r="CE11">
        <v>2459.1535021232899</v>
      </c>
      <c r="CF11">
        <v>4098.1416797566699</v>
      </c>
      <c r="CG11">
        <v>4177.4520818307201</v>
      </c>
      <c r="CH11">
        <v>2612.6005055863502</v>
      </c>
      <c r="CI11">
        <v>2714.0485588353999</v>
      </c>
      <c r="CJ11">
        <v>3874.9983060990999</v>
      </c>
      <c r="CK11">
        <v>3090.09072290313</v>
      </c>
      <c r="CL11">
        <v>4307.4095796188303</v>
      </c>
      <c r="CM11">
        <v>4560.1531676794702</v>
      </c>
      <c r="CN11">
        <v>2630.0567634310901</v>
      </c>
      <c r="CO11">
        <v>2842.4767548042</v>
      </c>
      <c r="CP11">
        <v>3419.9156826650401</v>
      </c>
      <c r="CQ11">
        <v>2087.4190380986802</v>
      </c>
      <c r="CR11">
        <v>2278.85449045531</v>
      </c>
      <c r="CS11">
        <v>2777.9577003138302</v>
      </c>
      <c r="CT11">
        <v>4896.9839619436298</v>
      </c>
      <c r="CU11">
        <v>3523.9608238583301</v>
      </c>
      <c r="CV11">
        <v>2932.7273639773898</v>
      </c>
      <c r="CW11">
        <v>2709.76663153658</v>
      </c>
      <c r="CX11">
        <v>2709.76663153658</v>
      </c>
    </row>
    <row r="12" spans="1:102" ht="16" x14ac:dyDescent="0.2">
      <c r="A12">
        <v>11</v>
      </c>
      <c r="B12" s="12">
        <v>4970.6985011145034</v>
      </c>
      <c r="C12">
        <v>3810.0592070090102</v>
      </c>
      <c r="D12">
        <v>4348.1669397404503</v>
      </c>
      <c r="E12">
        <v>4298.7437212632303</v>
      </c>
      <c r="F12">
        <v>4674.9223056283299</v>
      </c>
      <c r="G12">
        <v>5399.2128535556003</v>
      </c>
      <c r="H12">
        <v>4817.4365444089299</v>
      </c>
      <c r="I12">
        <v>5733.8019733031797</v>
      </c>
      <c r="J12">
        <v>4607.7534164450099</v>
      </c>
      <c r="K12">
        <v>6777.7946737147404</v>
      </c>
      <c r="L12">
        <v>5704.6053537810903</v>
      </c>
      <c r="M12">
        <v>5122.1215018611201</v>
      </c>
      <c r="N12">
        <v>5402.9772571711701</v>
      </c>
      <c r="O12">
        <v>4371.5408606379196</v>
      </c>
      <c r="P12">
        <v>4659.7001890117299</v>
      </c>
      <c r="Q12">
        <v>4623.7062037701198</v>
      </c>
      <c r="R12">
        <v>4185.1453495928599</v>
      </c>
      <c r="S12">
        <v>3680.0921443904199</v>
      </c>
      <c r="T12">
        <v>5462.8731438678797</v>
      </c>
      <c r="U12">
        <v>5920.5913810130596</v>
      </c>
      <c r="V12">
        <v>5301.8034688130201</v>
      </c>
      <c r="W12">
        <v>4814.5819071961196</v>
      </c>
      <c r="X12">
        <v>7431.8865377392203</v>
      </c>
      <c r="Y12">
        <v>4275.8235803777798</v>
      </c>
      <c r="Z12">
        <v>5157.3538179299803</v>
      </c>
      <c r="AA12">
        <v>6098.6886801476103</v>
      </c>
      <c r="AB12">
        <v>3887.1520968364398</v>
      </c>
      <c r="AC12">
        <v>5548.5790241182203</v>
      </c>
      <c r="AD12">
        <v>6877.0197297800296</v>
      </c>
      <c r="AE12">
        <v>4894.3608488215896</v>
      </c>
      <c r="AF12">
        <v>5063.4152661710596</v>
      </c>
      <c r="AG12">
        <v>4280.8520720175002</v>
      </c>
      <c r="AH12">
        <v>5390.2782538105803</v>
      </c>
      <c r="AI12">
        <v>4164.9494162611199</v>
      </c>
      <c r="AJ12">
        <v>4835.8193115923596</v>
      </c>
      <c r="AK12">
        <v>3589.8645397891501</v>
      </c>
      <c r="AL12">
        <v>2757.6437646327599</v>
      </c>
      <c r="AM12">
        <v>4447.3065925697802</v>
      </c>
      <c r="AN12">
        <v>4433.0884187025504</v>
      </c>
      <c r="AO12">
        <v>4522.8225699971999</v>
      </c>
      <c r="AP12">
        <v>5668.6173752657796</v>
      </c>
      <c r="AQ12">
        <v>5955.7979218434803</v>
      </c>
      <c r="AR12">
        <v>5201.11963108502</v>
      </c>
      <c r="AS12">
        <v>5585.5022975230704</v>
      </c>
      <c r="AT12">
        <v>4188.5024463976897</v>
      </c>
      <c r="AU12">
        <v>3986.5962350392101</v>
      </c>
      <c r="AV12">
        <v>5412.73103146228</v>
      </c>
      <c r="AW12">
        <v>3876.9903324233101</v>
      </c>
      <c r="AX12">
        <v>3791.7227723068299</v>
      </c>
      <c r="AY12">
        <v>8301.8474113401098</v>
      </c>
      <c r="AZ12">
        <v>4957.7270478689597</v>
      </c>
      <c r="BA12">
        <v>4433.6501318727396</v>
      </c>
      <c r="BB12">
        <v>4332.9947363439796</v>
      </c>
      <c r="BC12">
        <v>3609.7979996736099</v>
      </c>
      <c r="BD12">
        <v>5178.8361224750397</v>
      </c>
      <c r="BE12">
        <v>4605.5513263071898</v>
      </c>
      <c r="BF12">
        <v>5919.8974876390703</v>
      </c>
      <c r="BG12">
        <v>5447.3647209153796</v>
      </c>
      <c r="BH12">
        <v>4574.2494557995597</v>
      </c>
      <c r="BI12">
        <v>3199.1830697066298</v>
      </c>
      <c r="BJ12">
        <v>4960.4242437658304</v>
      </c>
      <c r="BK12">
        <v>4870.4576507251804</v>
      </c>
      <c r="BL12">
        <v>3068.6021028927298</v>
      </c>
      <c r="BM12">
        <v>5317.6844364580402</v>
      </c>
      <c r="BN12">
        <v>3851.1145855381501</v>
      </c>
      <c r="BO12">
        <v>5984.9033067214204</v>
      </c>
      <c r="BP12">
        <v>4810.9292345935401</v>
      </c>
      <c r="BQ12">
        <v>4308.8318546404698</v>
      </c>
      <c r="BR12">
        <v>5099.6195606340198</v>
      </c>
      <c r="BS12">
        <v>5035.8025608709304</v>
      </c>
      <c r="BT12">
        <v>4998.4259640668197</v>
      </c>
      <c r="BU12">
        <v>5815.5895410264402</v>
      </c>
      <c r="BV12">
        <v>3326.8151817305802</v>
      </c>
      <c r="BW12">
        <v>5162.2613282861203</v>
      </c>
      <c r="BX12">
        <v>4232.7638614369298</v>
      </c>
      <c r="BY12">
        <v>4633.3960992447001</v>
      </c>
      <c r="BZ12">
        <v>6421.9200473036299</v>
      </c>
      <c r="CA12">
        <v>4157.7212981677103</v>
      </c>
      <c r="CB12">
        <v>5300.1851775367804</v>
      </c>
      <c r="CC12">
        <v>5860.4153275932304</v>
      </c>
      <c r="CD12">
        <v>5403.7308568955496</v>
      </c>
      <c r="CE12">
        <v>4966.5973613362803</v>
      </c>
      <c r="CF12">
        <v>5119.9109100385404</v>
      </c>
      <c r="CG12">
        <v>5473.3023071909001</v>
      </c>
      <c r="CH12">
        <v>4148.0232659162402</v>
      </c>
      <c r="CI12">
        <v>4876.8072363540005</v>
      </c>
      <c r="CJ12">
        <v>7421.9542065954902</v>
      </c>
      <c r="CK12">
        <v>5333.3591676696396</v>
      </c>
      <c r="CL12">
        <v>5001.8363526811399</v>
      </c>
      <c r="CM12">
        <v>4540.5041923425997</v>
      </c>
      <c r="CN12">
        <v>4157.1442709824096</v>
      </c>
      <c r="CO12">
        <v>5154.37210220215</v>
      </c>
      <c r="CP12">
        <v>5226.3219297467504</v>
      </c>
      <c r="CQ12">
        <v>4811.2416737977101</v>
      </c>
      <c r="CR12">
        <v>8088.47332357904</v>
      </c>
      <c r="CS12">
        <v>4227.6975680124497</v>
      </c>
      <c r="CT12">
        <v>4031.1894242415101</v>
      </c>
      <c r="CU12">
        <v>4553.3314222856097</v>
      </c>
      <c r="CV12">
        <v>4841.9752834975598</v>
      </c>
      <c r="CW12">
        <v>4114.8894216042499</v>
      </c>
      <c r="CX12">
        <v>4114.8894216042499</v>
      </c>
    </row>
    <row r="13" spans="1:102" ht="16" x14ac:dyDescent="0.2">
      <c r="A13">
        <v>12</v>
      </c>
      <c r="B13" s="12">
        <v>4913.6107429217336</v>
      </c>
      <c r="C13">
        <v>5070.3559961374503</v>
      </c>
      <c r="D13">
        <v>5179.9952862636501</v>
      </c>
      <c r="E13">
        <v>5539.9479951645899</v>
      </c>
      <c r="F13">
        <v>4356.6089455367801</v>
      </c>
      <c r="G13">
        <v>6232.3661023261202</v>
      </c>
      <c r="H13">
        <v>5462.9635117408698</v>
      </c>
      <c r="I13">
        <v>8144.5600056590702</v>
      </c>
      <c r="J13">
        <v>4162.4592472419799</v>
      </c>
      <c r="K13">
        <v>4064.0925368949001</v>
      </c>
      <c r="L13">
        <v>4561.43325598094</v>
      </c>
      <c r="M13">
        <v>5182.5564820781801</v>
      </c>
      <c r="N13">
        <v>5332.9739467721001</v>
      </c>
      <c r="O13">
        <v>5460.8639668811802</v>
      </c>
      <c r="P13">
        <v>7227.40261375502</v>
      </c>
      <c r="Q13">
        <v>3247.8255634965199</v>
      </c>
      <c r="R13">
        <v>3339.8455843383399</v>
      </c>
      <c r="S13">
        <v>4730.1652865956503</v>
      </c>
      <c r="T13">
        <v>7087.9078905558699</v>
      </c>
      <c r="U13">
        <v>5591.9776176694604</v>
      </c>
      <c r="V13">
        <v>3936.7228449956601</v>
      </c>
      <c r="W13">
        <v>5018.9451689050702</v>
      </c>
      <c r="X13">
        <v>4674.2108057551704</v>
      </c>
      <c r="Y13">
        <v>4641.0963871511403</v>
      </c>
      <c r="Z13">
        <v>4340.2704223356905</v>
      </c>
      <c r="AA13">
        <v>4937.2714999731697</v>
      </c>
      <c r="AB13">
        <v>5981.5607194226995</v>
      </c>
      <c r="AC13">
        <v>4416.3127671820903</v>
      </c>
      <c r="AD13">
        <v>5469.1511012750298</v>
      </c>
      <c r="AE13">
        <v>5661.2897393835201</v>
      </c>
      <c r="AF13">
        <v>6221.4411505669595</v>
      </c>
      <c r="AG13">
        <v>4050.5721349301498</v>
      </c>
      <c r="AH13">
        <v>4859.1129764100097</v>
      </c>
      <c r="AI13">
        <v>4241.5349086319702</v>
      </c>
      <c r="AJ13">
        <v>4939.1287570721397</v>
      </c>
      <c r="AK13">
        <v>4932.5237620748503</v>
      </c>
      <c r="AL13">
        <v>3851.94055715896</v>
      </c>
      <c r="AM13">
        <v>4996.9150719566296</v>
      </c>
      <c r="AN13">
        <v>7310.1614949044797</v>
      </c>
      <c r="AO13">
        <v>5337.1910750890402</v>
      </c>
      <c r="AP13">
        <v>3697.2602190805601</v>
      </c>
      <c r="AQ13">
        <v>4001.36005495156</v>
      </c>
      <c r="AR13">
        <v>4810.0296391462498</v>
      </c>
      <c r="AS13">
        <v>4019.40094815778</v>
      </c>
      <c r="AT13">
        <v>6149.8894891289101</v>
      </c>
      <c r="AU13">
        <v>3610.9477314441901</v>
      </c>
      <c r="AV13">
        <v>5344.7037117519703</v>
      </c>
      <c r="AW13">
        <v>3461.8608410312399</v>
      </c>
      <c r="AX13">
        <v>4794.8920871236596</v>
      </c>
      <c r="AY13">
        <v>3905.0011125321098</v>
      </c>
      <c r="AZ13">
        <v>5537.4515422132299</v>
      </c>
      <c r="BA13">
        <v>5928.8608475138599</v>
      </c>
      <c r="BB13">
        <v>5179.4476386870501</v>
      </c>
      <c r="BC13">
        <v>5985.7503599621195</v>
      </c>
      <c r="BD13">
        <v>2878.0726202977798</v>
      </c>
      <c r="BE13">
        <v>4984.2599330521098</v>
      </c>
      <c r="BF13">
        <v>5329.4194174827799</v>
      </c>
      <c r="BG13">
        <v>5466.6199187249204</v>
      </c>
      <c r="BH13">
        <v>3259.9087058131199</v>
      </c>
      <c r="BI13">
        <v>5265.99675643714</v>
      </c>
      <c r="BJ13">
        <v>5490.7908111227298</v>
      </c>
      <c r="BK13">
        <v>4972.9944335615601</v>
      </c>
      <c r="BL13">
        <v>3704.4507289252501</v>
      </c>
      <c r="BM13">
        <v>4333.9240155460102</v>
      </c>
      <c r="BN13">
        <v>6156.6084146081103</v>
      </c>
      <c r="BO13">
        <v>6008.6459756289096</v>
      </c>
      <c r="BP13">
        <v>5309.6353812536399</v>
      </c>
      <c r="BQ13">
        <v>5561.3178650834097</v>
      </c>
      <c r="BR13">
        <v>5859.0552058314197</v>
      </c>
      <c r="BS13">
        <v>5297.3052239873005</v>
      </c>
      <c r="BT13">
        <v>6119.4270572201704</v>
      </c>
      <c r="BU13">
        <v>6076.4819433293396</v>
      </c>
      <c r="BV13">
        <v>7817.7750129960295</v>
      </c>
      <c r="BW13">
        <v>4369.47319954052</v>
      </c>
      <c r="BX13">
        <v>4385.1379277955702</v>
      </c>
      <c r="BY13">
        <v>2620.4423504829601</v>
      </c>
      <c r="BZ13">
        <v>5217.6560547382596</v>
      </c>
      <c r="CA13">
        <v>6993.3398723559703</v>
      </c>
      <c r="CB13">
        <v>6220.6833618174096</v>
      </c>
      <c r="CC13">
        <v>5700.3628424704302</v>
      </c>
      <c r="CD13">
        <v>6310.7387018524796</v>
      </c>
      <c r="CE13">
        <v>5348.6880256269496</v>
      </c>
      <c r="CF13">
        <v>4572.0961844117601</v>
      </c>
      <c r="CG13">
        <v>7372.6205782705501</v>
      </c>
      <c r="CH13">
        <v>5269.1915939310902</v>
      </c>
      <c r="CI13">
        <v>6048.5064856181298</v>
      </c>
      <c r="CJ13">
        <v>2873.8699309861199</v>
      </c>
      <c r="CK13">
        <v>2988.2645559891198</v>
      </c>
      <c r="CL13">
        <v>5015.4164399825604</v>
      </c>
      <c r="CM13">
        <v>4019.7415576869098</v>
      </c>
      <c r="CN13">
        <v>5107.1115059521198</v>
      </c>
      <c r="CO13">
        <v>4383.9341239197902</v>
      </c>
      <c r="CP13">
        <v>8082.3484216177103</v>
      </c>
      <c r="CQ13">
        <v>5946.4180148753503</v>
      </c>
      <c r="CR13">
        <v>6440.4165905566797</v>
      </c>
      <c r="CS13">
        <v>3106.2345231829099</v>
      </c>
      <c r="CT13">
        <v>5684.4233040505997</v>
      </c>
      <c r="CU13">
        <v>4677.9663370397802</v>
      </c>
      <c r="CV13">
        <v>6467.0740412845998</v>
      </c>
      <c r="CW13">
        <v>5512.3132113102502</v>
      </c>
      <c r="CX13">
        <v>5512.3132113102502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9" sqref="J29"/>
    </sheetView>
  </sheetViews>
  <sheetFormatPr baseColWidth="10" defaultColWidth="8.83203125" defaultRowHeight="15" x14ac:dyDescent="0.2"/>
  <cols>
    <col min="2" max="2" width="8.5" style="4" customWidth="1"/>
    <col min="5" max="5" width="8.83203125" style="4" customWidth="1"/>
  </cols>
  <sheetData>
    <row r="1" spans="1:3" x14ac:dyDescent="0.2">
      <c r="A1" s="1" t="s">
        <v>8</v>
      </c>
      <c r="B1" s="5" t="s">
        <v>6</v>
      </c>
      <c r="C1" s="1" t="s">
        <v>7</v>
      </c>
    </row>
    <row r="2" spans="1:3" x14ac:dyDescent="0.2">
      <c r="A2" s="1">
        <v>1</v>
      </c>
      <c r="B2">
        <v>46</v>
      </c>
      <c r="C2">
        <v>46</v>
      </c>
    </row>
    <row r="3" spans="1:3" x14ac:dyDescent="0.2">
      <c r="A3" s="1">
        <v>2</v>
      </c>
      <c r="B3">
        <v>46</v>
      </c>
      <c r="C3">
        <v>47</v>
      </c>
    </row>
    <row r="4" spans="1:3" x14ac:dyDescent="0.2">
      <c r="A4" s="1">
        <v>3</v>
      </c>
      <c r="B4">
        <v>46</v>
      </c>
      <c r="C4">
        <v>48</v>
      </c>
    </row>
    <row r="5" spans="1:3" x14ac:dyDescent="0.2">
      <c r="A5" s="1">
        <v>4</v>
      </c>
      <c r="B5">
        <v>46</v>
      </c>
      <c r="C5">
        <v>49</v>
      </c>
    </row>
    <row r="6" spans="1:3" x14ac:dyDescent="0.2">
      <c r="A6" s="1">
        <v>5</v>
      </c>
      <c r="B6">
        <v>46</v>
      </c>
      <c r="C6">
        <v>50</v>
      </c>
    </row>
    <row r="7" spans="1:3" x14ac:dyDescent="0.2">
      <c r="A7" s="1">
        <v>6</v>
      </c>
      <c r="B7">
        <v>46</v>
      </c>
      <c r="C7">
        <v>52</v>
      </c>
    </row>
    <row r="8" spans="1:3" x14ac:dyDescent="0.2">
      <c r="A8" s="1">
        <v>7</v>
      </c>
      <c r="B8">
        <v>53</v>
      </c>
      <c r="C8">
        <v>53</v>
      </c>
    </row>
    <row r="9" spans="1:3" x14ac:dyDescent="0.2">
      <c r="A9" s="1">
        <v>8</v>
      </c>
      <c r="B9">
        <v>53</v>
      </c>
      <c r="C9">
        <v>54</v>
      </c>
    </row>
    <row r="10" spans="1:3" x14ac:dyDescent="0.2">
      <c r="A10" s="1">
        <v>9</v>
      </c>
      <c r="B10">
        <v>53</v>
      </c>
      <c r="C10">
        <v>55</v>
      </c>
    </row>
    <row r="11" spans="1:3" x14ac:dyDescent="0.2">
      <c r="A11" s="1">
        <v>10</v>
      </c>
      <c r="B11">
        <v>53</v>
      </c>
      <c r="C11">
        <v>56</v>
      </c>
    </row>
    <row r="12" spans="1:3" x14ac:dyDescent="0.2">
      <c r="A12" s="1">
        <v>11</v>
      </c>
      <c r="B12">
        <v>53</v>
      </c>
      <c r="C12">
        <v>57</v>
      </c>
    </row>
    <row r="13" spans="1:3" x14ac:dyDescent="0.2">
      <c r="A13" s="1">
        <v>12</v>
      </c>
      <c r="B13">
        <v>53</v>
      </c>
      <c r="C13">
        <v>58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C13"/>
    </sheetView>
  </sheetViews>
  <sheetFormatPr baseColWidth="10" defaultColWidth="8.83203125" defaultRowHeight="15" x14ac:dyDescent="0.2"/>
  <cols>
    <col min="2" max="2" width="8.5" style="4" customWidth="1"/>
    <col min="5" max="5" width="8.83203125" style="4" customWidth="1"/>
  </cols>
  <sheetData>
    <row r="1" spans="1:3" x14ac:dyDescent="0.2">
      <c r="A1" s="1" t="s">
        <v>8</v>
      </c>
      <c r="B1" s="5" t="s">
        <v>6</v>
      </c>
      <c r="C1" s="1" t="s">
        <v>7</v>
      </c>
    </row>
    <row r="2" spans="1:3" x14ac:dyDescent="0.2">
      <c r="A2" s="1">
        <v>1</v>
      </c>
      <c r="B2" s="4">
        <v>20000</v>
      </c>
      <c r="C2" s="4">
        <v>20000</v>
      </c>
    </row>
    <row r="3" spans="1:3" x14ac:dyDescent="0.2">
      <c r="A3" s="1">
        <v>2</v>
      </c>
      <c r="B3" s="4">
        <v>20000</v>
      </c>
      <c r="C3" s="4">
        <v>20000</v>
      </c>
    </row>
    <row r="4" spans="1:3" x14ac:dyDescent="0.2">
      <c r="A4" s="1">
        <v>3</v>
      </c>
      <c r="B4" s="4">
        <v>20000</v>
      </c>
      <c r="C4" s="4">
        <v>20000</v>
      </c>
    </row>
    <row r="5" spans="1:3" x14ac:dyDescent="0.2">
      <c r="A5" s="1">
        <v>4</v>
      </c>
      <c r="B5" s="4">
        <v>20000</v>
      </c>
      <c r="C5" s="4">
        <v>20000</v>
      </c>
    </row>
    <row r="6" spans="1:3" x14ac:dyDescent="0.2">
      <c r="A6" s="1">
        <v>5</v>
      </c>
      <c r="B6" s="4">
        <v>20000</v>
      </c>
      <c r="C6" s="4">
        <v>20000</v>
      </c>
    </row>
    <row r="7" spans="1:3" x14ac:dyDescent="0.2">
      <c r="A7" s="1">
        <v>6</v>
      </c>
      <c r="B7" s="4">
        <v>20000</v>
      </c>
      <c r="C7" s="4">
        <v>20000</v>
      </c>
    </row>
    <row r="8" spans="1:3" x14ac:dyDescent="0.2">
      <c r="A8" s="1">
        <v>7</v>
      </c>
      <c r="B8" s="4">
        <v>20000</v>
      </c>
      <c r="C8" s="4">
        <v>20000</v>
      </c>
    </row>
    <row r="9" spans="1:3" x14ac:dyDescent="0.2">
      <c r="A9" s="1">
        <v>8</v>
      </c>
      <c r="B9" s="4">
        <v>20000</v>
      </c>
      <c r="C9" s="4">
        <v>20000</v>
      </c>
    </row>
    <row r="10" spans="1:3" x14ac:dyDescent="0.2">
      <c r="A10" s="1">
        <v>9</v>
      </c>
      <c r="B10" s="4">
        <v>20000</v>
      </c>
      <c r="C10" s="4">
        <v>20000</v>
      </c>
    </row>
    <row r="11" spans="1:3" x14ac:dyDescent="0.2">
      <c r="A11" s="1">
        <v>10</v>
      </c>
      <c r="B11" s="4">
        <v>20000</v>
      </c>
      <c r="C11" s="4">
        <v>20000</v>
      </c>
    </row>
    <row r="12" spans="1:3" x14ac:dyDescent="0.2">
      <c r="A12" s="1">
        <v>11</v>
      </c>
      <c r="B12" s="4">
        <v>20000</v>
      </c>
      <c r="C12" s="4">
        <v>20000</v>
      </c>
    </row>
    <row r="13" spans="1:3" x14ac:dyDescent="0.2">
      <c r="A13" s="1">
        <v>12</v>
      </c>
      <c r="B13" s="4">
        <v>20000</v>
      </c>
      <c r="C13" s="4">
        <v>20000</v>
      </c>
    </row>
  </sheetData>
  <autoFilter ref="A1:C13" xr:uid="{00000000-0009-0000-0000-000003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68"/>
  <sheetViews>
    <sheetView topLeftCell="A39" zoomScale="110" zoomScaleNormal="110" workbookViewId="0">
      <selection activeCell="L44" sqref="L44:L55"/>
    </sheetView>
  </sheetViews>
  <sheetFormatPr baseColWidth="10" defaultColWidth="8.83203125" defaultRowHeight="15" outlineLevelRow="1" x14ac:dyDescent="0.2"/>
  <cols>
    <col min="8" max="8" width="9.1640625" customWidth="1"/>
    <col min="9" max="9" width="9.83203125" customWidth="1"/>
    <col min="1020" max="1021" width="9.1640625" customWidth="1"/>
    <col min="16382" max="16384" width="11.5" customWidth="1"/>
  </cols>
  <sheetData>
    <row r="1" spans="1:45" x14ac:dyDescent="0.2">
      <c r="B1" t="s">
        <v>110</v>
      </c>
      <c r="C1" t="s">
        <v>111</v>
      </c>
    </row>
    <row r="3" spans="1:45" x14ac:dyDescent="0.2">
      <c r="J3" t="s">
        <v>112</v>
      </c>
    </row>
    <row r="4" spans="1:45" x14ac:dyDescent="0.2">
      <c r="E4" t="s">
        <v>113</v>
      </c>
      <c r="I4" t="s">
        <v>114</v>
      </c>
      <c r="J4" t="s">
        <v>115</v>
      </c>
      <c r="K4" t="s">
        <v>9</v>
      </c>
      <c r="N4" t="s">
        <v>116</v>
      </c>
    </row>
    <row r="5" spans="1:45" outlineLevel="1" x14ac:dyDescent="0.2">
      <c r="A5" s="6"/>
      <c r="B5">
        <v>23.08</v>
      </c>
      <c r="C5">
        <v>23.08</v>
      </c>
      <c r="D5" s="6"/>
      <c r="E5">
        <v>216.30876000000001</v>
      </c>
      <c r="F5" s="1"/>
      <c r="G5" s="1">
        <f t="shared" ref="G5:G16" si="0">E5*B5*0.75</f>
        <v>3744.3046355999995</v>
      </c>
      <c r="H5" s="1"/>
      <c r="I5">
        <f>K5*3</f>
        <v>639.01212828000007</v>
      </c>
      <c r="J5">
        <v>216.30876000000001</v>
      </c>
      <c r="K5">
        <v>213.00404276</v>
      </c>
      <c r="L5" s="1"/>
      <c r="M5" s="1">
        <f>I5+J5-K5</f>
        <v>642.31684552000002</v>
      </c>
      <c r="N5" s="1">
        <v>5</v>
      </c>
      <c r="O5" s="1">
        <f t="shared" ref="O5:O16" si="1">M5*N5</f>
        <v>3211.5842276000003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outlineLevel="1" x14ac:dyDescent="0.2">
      <c r="A6" s="7"/>
      <c r="B6">
        <v>23.47</v>
      </c>
      <c r="C6">
        <v>23.08</v>
      </c>
      <c r="D6" s="7"/>
      <c r="E6">
        <v>188.53053</v>
      </c>
      <c r="F6" s="4"/>
      <c r="G6" s="1">
        <f t="shared" si="0"/>
        <v>3318.6086543250003</v>
      </c>
      <c r="H6" s="4"/>
      <c r="J6">
        <v>188.53053</v>
      </c>
      <c r="K6">
        <v>242</v>
      </c>
      <c r="L6" s="4"/>
      <c r="M6" s="1">
        <f t="shared" ref="M6:M16" si="2">M5+J6-K6</f>
        <v>588.84737552000001</v>
      </c>
      <c r="N6" s="1">
        <v>5</v>
      </c>
      <c r="O6" s="1">
        <f t="shared" si="1"/>
        <v>2944.2368776000003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outlineLevel="1" x14ac:dyDescent="0.2">
      <c r="A7" s="8"/>
      <c r="B7">
        <v>24.77</v>
      </c>
      <c r="C7">
        <v>23.08</v>
      </c>
      <c r="D7" s="8"/>
      <c r="E7">
        <v>245.14993344000001</v>
      </c>
      <c r="F7" s="9"/>
      <c r="G7" s="1">
        <f t="shared" si="0"/>
        <v>4554.2728884815997</v>
      </c>
      <c r="H7" s="9"/>
      <c r="J7">
        <v>245.14993344000001</v>
      </c>
      <c r="K7">
        <v>255.52615463000001</v>
      </c>
      <c r="L7" s="9"/>
      <c r="M7" s="1">
        <f t="shared" si="2"/>
        <v>578.47115432999999</v>
      </c>
      <c r="N7" s="1">
        <v>5</v>
      </c>
      <c r="O7" s="1">
        <f t="shared" si="1"/>
        <v>2892.35577165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</row>
    <row r="8" spans="1:45" outlineLevel="1" x14ac:dyDescent="0.2">
      <c r="A8" s="8"/>
      <c r="B8">
        <v>27.49</v>
      </c>
      <c r="C8">
        <v>27.49</v>
      </c>
      <c r="D8" s="8"/>
      <c r="E8">
        <v>346.09402</v>
      </c>
      <c r="G8" s="1">
        <f t="shared" si="0"/>
        <v>7135.5934573499999</v>
      </c>
      <c r="J8">
        <v>346.09402</v>
      </c>
      <c r="K8">
        <v>278.64774541999998</v>
      </c>
      <c r="M8" s="1">
        <f t="shared" si="2"/>
        <v>645.91742891000001</v>
      </c>
      <c r="N8" s="1">
        <v>5</v>
      </c>
      <c r="O8" s="1">
        <f t="shared" si="1"/>
        <v>3229.5871445500002</v>
      </c>
    </row>
    <row r="9" spans="1:45" x14ac:dyDescent="0.2">
      <c r="A9" s="8"/>
      <c r="B9">
        <v>29.36</v>
      </c>
      <c r="C9">
        <v>27.49</v>
      </c>
      <c r="D9" s="8"/>
      <c r="E9">
        <v>302.83226999999999</v>
      </c>
      <c r="G9" s="1">
        <f t="shared" si="0"/>
        <v>6668.3665853999992</v>
      </c>
      <c r="J9">
        <v>302.83226999999999</v>
      </c>
      <c r="K9">
        <v>276.99538976000002</v>
      </c>
      <c r="M9" s="1">
        <f t="shared" si="2"/>
        <v>671.75430914999993</v>
      </c>
      <c r="N9" s="1">
        <v>5</v>
      </c>
      <c r="O9" s="1">
        <f t="shared" si="1"/>
        <v>3358.7715457499999</v>
      </c>
    </row>
    <row r="10" spans="1:45" x14ac:dyDescent="0.2">
      <c r="A10" s="8"/>
      <c r="B10">
        <v>29.58</v>
      </c>
      <c r="C10">
        <v>27.49</v>
      </c>
      <c r="D10" s="8"/>
      <c r="E10">
        <v>273.99110208000002</v>
      </c>
      <c r="G10" s="1">
        <f t="shared" si="0"/>
        <v>6078.4925996448001</v>
      </c>
      <c r="J10">
        <v>273.99110208000002</v>
      </c>
      <c r="K10">
        <v>282.55332401999999</v>
      </c>
      <c r="M10" s="1">
        <f t="shared" si="2"/>
        <v>663.19208720999995</v>
      </c>
      <c r="N10" s="1">
        <v>5</v>
      </c>
      <c r="O10" s="1">
        <f t="shared" si="1"/>
        <v>3315.9604360499998</v>
      </c>
    </row>
    <row r="11" spans="1:45" x14ac:dyDescent="0.2">
      <c r="A11" s="8"/>
      <c r="B11">
        <v>29.77</v>
      </c>
      <c r="C11">
        <v>27.49</v>
      </c>
      <c r="D11" s="8"/>
      <c r="E11">
        <v>318.10319676</v>
      </c>
      <c r="G11" s="1">
        <f t="shared" si="0"/>
        <v>7102.449125658899</v>
      </c>
      <c r="J11">
        <v>318.10319676</v>
      </c>
      <c r="K11">
        <v>293.01738862000002</v>
      </c>
      <c r="M11" s="1">
        <f t="shared" si="2"/>
        <v>688.27789534999988</v>
      </c>
      <c r="N11" s="1">
        <v>5</v>
      </c>
      <c r="O11" s="1">
        <f t="shared" si="1"/>
        <v>3441.3894767499996</v>
      </c>
    </row>
    <row r="12" spans="1:45" x14ac:dyDescent="0.2">
      <c r="A12" s="8"/>
      <c r="B12">
        <v>28.53</v>
      </c>
      <c r="C12">
        <v>27.49</v>
      </c>
      <c r="D12" s="8"/>
      <c r="E12">
        <v>216.30876480000001</v>
      </c>
      <c r="G12" s="1">
        <f t="shared" si="0"/>
        <v>4628.4667948080005</v>
      </c>
      <c r="J12">
        <v>216.30876480000001</v>
      </c>
      <c r="K12">
        <v>253.56194095999999</v>
      </c>
      <c r="M12" s="1">
        <f t="shared" si="2"/>
        <v>651.02471918999993</v>
      </c>
      <c r="N12" s="1">
        <v>5</v>
      </c>
      <c r="O12" s="1">
        <f t="shared" si="1"/>
        <v>3255.1235959499995</v>
      </c>
    </row>
    <row r="13" spans="1:45" x14ac:dyDescent="0.2">
      <c r="A13" s="8"/>
      <c r="B13">
        <v>30.13</v>
      </c>
      <c r="C13">
        <v>27.49</v>
      </c>
      <c r="D13" s="8"/>
      <c r="E13">
        <v>346.09402368000002</v>
      </c>
      <c r="G13" s="1">
        <f t="shared" si="0"/>
        <v>7820.8597001088001</v>
      </c>
      <c r="J13">
        <v>346.09402368000002</v>
      </c>
      <c r="K13">
        <v>230.27870586</v>
      </c>
      <c r="M13" s="1">
        <f t="shared" si="2"/>
        <v>766.84003701000006</v>
      </c>
      <c r="N13" s="1">
        <v>5</v>
      </c>
      <c r="O13" s="1">
        <f t="shared" si="1"/>
        <v>3834.2001850500001</v>
      </c>
    </row>
    <row r="14" spans="1:45" x14ac:dyDescent="0.2">
      <c r="A14" s="8"/>
      <c r="B14">
        <v>32.42</v>
      </c>
      <c r="C14">
        <v>32.42</v>
      </c>
      <c r="D14" s="8"/>
      <c r="E14">
        <v>1.2850672999999999</v>
      </c>
      <c r="G14" s="1">
        <f t="shared" si="0"/>
        <v>31.246411399500001</v>
      </c>
      <c r="J14">
        <v>1.2850672999999999</v>
      </c>
      <c r="K14">
        <v>203.34690929999999</v>
      </c>
      <c r="M14" s="1">
        <f t="shared" si="2"/>
        <v>564.7781950100001</v>
      </c>
      <c r="N14" s="1">
        <v>5</v>
      </c>
      <c r="O14" s="1">
        <f t="shared" si="1"/>
        <v>2823.8909750500006</v>
      </c>
    </row>
    <row r="15" spans="1:45" x14ac:dyDescent="0.2">
      <c r="A15" s="8"/>
      <c r="B15">
        <v>31.09</v>
      </c>
      <c r="C15">
        <v>32.42</v>
      </c>
      <c r="D15" s="8"/>
      <c r="E15">
        <v>380.08250427000002</v>
      </c>
      <c r="G15" s="1">
        <f t="shared" si="0"/>
        <v>8862.5737933157252</v>
      </c>
      <c r="J15">
        <v>380.08250427000002</v>
      </c>
      <c r="K15">
        <v>221.58548812000001</v>
      </c>
      <c r="M15" s="1">
        <f t="shared" si="2"/>
        <v>723.27521116000003</v>
      </c>
      <c r="N15" s="1">
        <v>5</v>
      </c>
      <c r="O15" s="1">
        <f t="shared" si="1"/>
        <v>3616.3760558000004</v>
      </c>
    </row>
    <row r="16" spans="1:45" x14ac:dyDescent="0.2">
      <c r="A16" s="8"/>
      <c r="B16">
        <v>30.76</v>
      </c>
      <c r="C16">
        <v>32.42</v>
      </c>
      <c r="D16" s="8"/>
      <c r="E16">
        <v>158.62642751999999</v>
      </c>
      <c r="G16" s="1">
        <f t="shared" si="0"/>
        <v>3659.5116828864002</v>
      </c>
      <c r="J16">
        <v>158.62642751999999</v>
      </c>
      <c r="K16">
        <v>275.34038780999998</v>
      </c>
      <c r="M16" s="1">
        <f t="shared" si="2"/>
        <v>606.56125087000009</v>
      </c>
      <c r="N16" s="1">
        <v>5</v>
      </c>
      <c r="O16" s="1">
        <f t="shared" si="1"/>
        <v>3032.8062543500005</v>
      </c>
    </row>
    <row r="17" spans="2:22" x14ac:dyDescent="0.2">
      <c r="B17">
        <v>30.41</v>
      </c>
      <c r="C17">
        <v>32.42</v>
      </c>
      <c r="G17" s="1"/>
    </row>
    <row r="18" spans="2:22" x14ac:dyDescent="0.2">
      <c r="B18">
        <v>32.15</v>
      </c>
      <c r="C18">
        <v>32.42</v>
      </c>
      <c r="G18" s="1"/>
    </row>
    <row r="19" spans="2:22" x14ac:dyDescent="0.2">
      <c r="B19">
        <v>33.19</v>
      </c>
      <c r="C19">
        <v>32.42</v>
      </c>
      <c r="G19" s="1"/>
    </row>
    <row r="20" spans="2:22" x14ac:dyDescent="0.2">
      <c r="G20">
        <f>SUM(G5:G16)</f>
        <v>63604.746328978712</v>
      </c>
      <c r="O20" s="1">
        <f>SUM(O5:O16)</f>
        <v>38956.282546150003</v>
      </c>
    </row>
    <row r="23" spans="2:22" x14ac:dyDescent="0.2">
      <c r="N23" t="s">
        <v>117</v>
      </c>
      <c r="O23">
        <f>G20+O20</f>
        <v>102561.02887512872</v>
      </c>
    </row>
    <row r="25" spans="2:22" x14ac:dyDescent="0.2">
      <c r="E25" t="s">
        <v>118</v>
      </c>
      <c r="F25" t="s">
        <v>119</v>
      </c>
      <c r="G25" t="s">
        <v>120</v>
      </c>
      <c r="Q25" t="s">
        <v>120</v>
      </c>
      <c r="R25" t="s">
        <v>121</v>
      </c>
    </row>
    <row r="26" spans="2:22" x14ac:dyDescent="0.2">
      <c r="D26" t="s">
        <v>122</v>
      </c>
      <c r="E26">
        <f>SUM(M5:M16)</f>
        <v>7791.2565092299992</v>
      </c>
      <c r="F26">
        <v>68902</v>
      </c>
      <c r="G26">
        <f>E15</f>
        <v>380.08250427000002</v>
      </c>
      <c r="Q26">
        <v>63604.746328978697</v>
      </c>
      <c r="R26">
        <v>62743.28</v>
      </c>
      <c r="S26">
        <f>100*(Q26-R26)/Q26</f>
        <v>1.3544057302311878</v>
      </c>
    </row>
    <row r="27" spans="2:22" x14ac:dyDescent="0.2">
      <c r="D27" t="s">
        <v>123</v>
      </c>
      <c r="E27">
        <v>21214</v>
      </c>
      <c r="F27">
        <v>4520</v>
      </c>
      <c r="G27">
        <v>39695</v>
      </c>
      <c r="Q27">
        <v>38956.282546150003</v>
      </c>
      <c r="R27">
        <v>36287.199999999997</v>
      </c>
      <c r="S27">
        <f>100*(Q27-R27)/Q27</f>
        <v>6.8514816396765967</v>
      </c>
    </row>
    <row r="28" spans="2:22" x14ac:dyDescent="0.2">
      <c r="D28" t="s">
        <v>124</v>
      </c>
      <c r="E28">
        <v>0</v>
      </c>
      <c r="F28">
        <v>510</v>
      </c>
      <c r="G28">
        <v>0</v>
      </c>
      <c r="N28">
        <v>167</v>
      </c>
      <c r="Q28">
        <f>SUM(Q26:Q27)</f>
        <v>102561.0288751287</v>
      </c>
      <c r="R28">
        <f>SUM(R26:R27)</f>
        <v>99030.48</v>
      </c>
      <c r="S28">
        <f>100*(Q28-R28)/Q28</f>
        <v>3.4423883163528517</v>
      </c>
    </row>
    <row r="29" spans="2:22" x14ac:dyDescent="0.2">
      <c r="D29" t="s">
        <v>125</v>
      </c>
      <c r="E29">
        <f>SUM(E26:E28)</f>
        <v>29005.256509229999</v>
      </c>
      <c r="F29">
        <f>SUM(F26:F28)</f>
        <v>73932</v>
      </c>
      <c r="G29">
        <f>SUM(G26:G28)</f>
        <v>40075.082504270002</v>
      </c>
      <c r="I29">
        <f>100*(G29-E29)/G29</f>
        <v>27.622715421385625</v>
      </c>
      <c r="N29">
        <v>149</v>
      </c>
    </row>
    <row r="30" spans="2:22" x14ac:dyDescent="0.2">
      <c r="N30">
        <v>190</v>
      </c>
      <c r="R30" s="1">
        <f>100*(O23-R28)/O23</f>
        <v>3.4423883163528655</v>
      </c>
      <c r="T30">
        <f>SUM(K5:K16)</f>
        <v>3025.8574772599995</v>
      </c>
      <c r="V30">
        <f>T30*R30/100</f>
        <v>104.16176426668778</v>
      </c>
    </row>
    <row r="31" spans="2:22" x14ac:dyDescent="0.2">
      <c r="N31">
        <v>213.00404276</v>
      </c>
    </row>
    <row r="32" spans="2:22" x14ac:dyDescent="0.2">
      <c r="N32">
        <v>242</v>
      </c>
    </row>
    <row r="33" spans="3:14" x14ac:dyDescent="0.2">
      <c r="F33">
        <f>100*(G26-E26)/G26</f>
        <v>-1949.8855963376068</v>
      </c>
      <c r="I33">
        <v>89525</v>
      </c>
      <c r="J33">
        <v>73932</v>
      </c>
      <c r="K33">
        <v>109254</v>
      </c>
      <c r="N33">
        <v>255.52615463000001</v>
      </c>
    </row>
    <row r="34" spans="3:14" x14ac:dyDescent="0.2">
      <c r="F34">
        <f>100*(G27-E27)/G27</f>
        <v>46.557500944703364</v>
      </c>
      <c r="I34">
        <v>63970</v>
      </c>
      <c r="J34">
        <v>68902</v>
      </c>
      <c r="K34">
        <v>69559</v>
      </c>
      <c r="N34">
        <v>278.64774541999998</v>
      </c>
    </row>
    <row r="35" spans="3:14" x14ac:dyDescent="0.2">
      <c r="I35">
        <v>25555</v>
      </c>
      <c r="J35">
        <v>4520</v>
      </c>
      <c r="K35">
        <v>39695</v>
      </c>
      <c r="N35">
        <v>276.99538976000002</v>
      </c>
    </row>
    <row r="36" spans="3:14" x14ac:dyDescent="0.2">
      <c r="F36">
        <f>100*(G29-E29)/G29</f>
        <v>27.622715421385625</v>
      </c>
      <c r="I36">
        <v>0</v>
      </c>
      <c r="J36">
        <v>510</v>
      </c>
      <c r="K36">
        <v>0</v>
      </c>
      <c r="N36">
        <v>282.55332401999999</v>
      </c>
    </row>
    <row r="37" spans="3:14" x14ac:dyDescent="0.2">
      <c r="N37">
        <v>293.01738862000002</v>
      </c>
    </row>
    <row r="38" spans="3:14" x14ac:dyDescent="0.2">
      <c r="N38">
        <v>253.56194095999999</v>
      </c>
    </row>
    <row r="39" spans="3:14" x14ac:dyDescent="0.2">
      <c r="N39">
        <v>230.27870586</v>
      </c>
    </row>
    <row r="40" spans="3:14" x14ac:dyDescent="0.2">
      <c r="N40">
        <v>203.34690929999999</v>
      </c>
    </row>
    <row r="41" spans="3:14" x14ac:dyDescent="0.2">
      <c r="N41">
        <v>221.58548812000001</v>
      </c>
    </row>
    <row r="42" spans="3:14" x14ac:dyDescent="0.2">
      <c r="N42">
        <v>275.34038780999998</v>
      </c>
    </row>
    <row r="43" spans="3:14" x14ac:dyDescent="0.2">
      <c r="L43" t="s">
        <v>9</v>
      </c>
    </row>
    <row r="44" spans="3:14" ht="16" x14ac:dyDescent="0.2">
      <c r="C44" s="12">
        <v>-361</v>
      </c>
      <c r="D44">
        <f t="shared" ref="D44:D55" si="3">ABS(C44)</f>
        <v>361</v>
      </c>
      <c r="E44">
        <f>31.104</f>
        <v>31.103999999999999</v>
      </c>
      <c r="G44">
        <v>305.85033192772107</v>
      </c>
      <c r="H44">
        <f>G44/G57</f>
        <v>0.21640097245222942</v>
      </c>
      <c r="J44">
        <f>J57*H44</f>
        <v>304.47616824028677</v>
      </c>
      <c r="K44">
        <v>32.151000000000003</v>
      </c>
      <c r="L44">
        <f>J44*K44</f>
        <v>9789.2132850934613</v>
      </c>
    </row>
    <row r="45" spans="3:14" ht="16" x14ac:dyDescent="0.2">
      <c r="C45" s="12">
        <v>-420</v>
      </c>
      <c r="D45">
        <f t="shared" si="3"/>
        <v>420</v>
      </c>
      <c r="G45">
        <v>182.63604621343501</v>
      </c>
      <c r="H45">
        <f t="shared" ref="H45:H55" si="4">G45/G58</f>
        <v>0.13906120604548192</v>
      </c>
      <c r="J45">
        <f t="shared" ref="J45:J55" si="5">J58*H45</f>
        <v>195.65911690599305</v>
      </c>
      <c r="K45">
        <v>32.151000000000003</v>
      </c>
      <c r="L45">
        <f t="shared" ref="L45:L55" si="6">J45*K45</f>
        <v>6290.6362676445833</v>
      </c>
    </row>
    <row r="46" spans="3:14" ht="16" x14ac:dyDescent="0.2">
      <c r="C46" s="12">
        <v>-344</v>
      </c>
      <c r="D46">
        <f t="shared" si="3"/>
        <v>344</v>
      </c>
      <c r="G46">
        <v>309.52464115758585</v>
      </c>
      <c r="H46">
        <f t="shared" si="4"/>
        <v>0.23567565545011557</v>
      </c>
      <c r="J46">
        <f t="shared" si="5"/>
        <v>331.59564721831259</v>
      </c>
      <c r="K46">
        <v>32.151000000000003</v>
      </c>
      <c r="L46">
        <f t="shared" si="6"/>
        <v>10661.131653715969</v>
      </c>
    </row>
    <row r="47" spans="3:14" ht="16" x14ac:dyDescent="0.2">
      <c r="C47" s="12">
        <v>-440</v>
      </c>
      <c r="D47">
        <f t="shared" si="3"/>
        <v>440</v>
      </c>
      <c r="G47">
        <v>236.03845656029014</v>
      </c>
      <c r="H47">
        <f t="shared" si="4"/>
        <v>0.17972242130137323</v>
      </c>
      <c r="J47">
        <f t="shared" si="5"/>
        <v>252.86944677103213</v>
      </c>
      <c r="K47">
        <v>32.151000000000003</v>
      </c>
      <c r="L47">
        <f t="shared" si="6"/>
        <v>8130.0055831354548</v>
      </c>
    </row>
    <row r="48" spans="3:14" ht="16" x14ac:dyDescent="0.2">
      <c r="C48" s="12">
        <v>-445</v>
      </c>
      <c r="D48">
        <f t="shared" si="3"/>
        <v>445</v>
      </c>
      <c r="G48">
        <v>236.03845656029014</v>
      </c>
      <c r="H48">
        <f t="shared" si="4"/>
        <v>0.17972242130137323</v>
      </c>
      <c r="J48">
        <f t="shared" si="5"/>
        <v>252.86944677103213</v>
      </c>
      <c r="K48">
        <v>32.151000000000003</v>
      </c>
      <c r="L48">
        <f t="shared" si="6"/>
        <v>8130.0055831354548</v>
      </c>
    </row>
    <row r="49" spans="1:12" ht="16" x14ac:dyDescent="0.2">
      <c r="A49" s="10"/>
      <c r="B49" s="10"/>
      <c r="C49" s="12">
        <v>-419</v>
      </c>
      <c r="D49">
        <f t="shared" si="3"/>
        <v>419</v>
      </c>
      <c r="G49">
        <v>143.26214850620431</v>
      </c>
      <c r="H49">
        <f t="shared" si="4"/>
        <v>0.10908146318858601</v>
      </c>
      <c r="J49">
        <f t="shared" si="5"/>
        <v>153.47761870634051</v>
      </c>
      <c r="K49">
        <v>32.151000000000003</v>
      </c>
      <c r="L49">
        <f t="shared" si="6"/>
        <v>4934.4589190275537</v>
      </c>
    </row>
    <row r="50" spans="1:12" ht="16" x14ac:dyDescent="0.2">
      <c r="A50" s="10"/>
      <c r="B50" s="10"/>
      <c r="C50" s="12">
        <v>-437</v>
      </c>
      <c r="D50">
        <f t="shared" si="3"/>
        <v>437</v>
      </c>
      <c r="G50">
        <v>339.08579614115877</v>
      </c>
      <c r="H50">
        <f t="shared" si="4"/>
        <v>0.28010865727640155</v>
      </c>
      <c r="J50">
        <f>J63*H50</f>
        <v>327.7271290133898</v>
      </c>
      <c r="K50">
        <v>32.151000000000003</v>
      </c>
      <c r="L50">
        <f t="shared" si="6"/>
        <v>10536.754924909497</v>
      </c>
    </row>
    <row r="51" spans="1:12" ht="16" x14ac:dyDescent="0.2">
      <c r="A51" s="10"/>
      <c r="B51" s="10"/>
      <c r="C51" s="12">
        <v>-414</v>
      </c>
      <c r="D51">
        <f t="shared" si="3"/>
        <v>414</v>
      </c>
      <c r="G51">
        <v>236.20513770494478</v>
      </c>
      <c r="H51">
        <f t="shared" si="4"/>
        <v>0.19512201548181757</v>
      </c>
      <c r="J51">
        <f t="shared" si="5"/>
        <v>228.29275811372656</v>
      </c>
      <c r="K51">
        <v>32.151000000000003</v>
      </c>
      <c r="L51">
        <f t="shared" si="6"/>
        <v>7339.8404661144232</v>
      </c>
    </row>
    <row r="52" spans="1:12" ht="16" x14ac:dyDescent="0.2">
      <c r="C52" s="12">
        <v>-406</v>
      </c>
      <c r="D52">
        <f t="shared" si="3"/>
        <v>406</v>
      </c>
      <c r="G52">
        <v>207.72924117349274</v>
      </c>
      <c r="H52">
        <f t="shared" si="4"/>
        <v>0.17159892712795952</v>
      </c>
      <c r="J52">
        <f t="shared" si="5"/>
        <v>200.77074473971263</v>
      </c>
      <c r="K52">
        <v>32.151000000000003</v>
      </c>
      <c r="L52">
        <f t="shared" si="6"/>
        <v>6454.9802141265009</v>
      </c>
    </row>
    <row r="53" spans="1:12" ht="16" x14ac:dyDescent="0.2">
      <c r="C53" s="12">
        <v>-258</v>
      </c>
      <c r="D53">
        <f t="shared" si="3"/>
        <v>258</v>
      </c>
      <c r="G53">
        <v>109.4414692746097</v>
      </c>
      <c r="H53">
        <f t="shared" si="4"/>
        <v>9.0406331842062287E-2</v>
      </c>
      <c r="J53">
        <f t="shared" si="5"/>
        <v>105.77540825521288</v>
      </c>
      <c r="K53">
        <v>32.151000000000003</v>
      </c>
      <c r="L53">
        <f t="shared" si="6"/>
        <v>3400.7851508133499</v>
      </c>
    </row>
    <row r="54" spans="1:12" ht="16" x14ac:dyDescent="0.2">
      <c r="A54" s="11"/>
      <c r="B54" s="11"/>
      <c r="C54" s="12">
        <v>-255</v>
      </c>
      <c r="D54">
        <f t="shared" si="3"/>
        <v>255</v>
      </c>
      <c r="G54">
        <v>159.96322118525052</v>
      </c>
      <c r="H54">
        <f t="shared" si="4"/>
        <v>0.13214084343761695</v>
      </c>
      <c r="J54">
        <f t="shared" si="5"/>
        <v>154.60478682201185</v>
      </c>
      <c r="K54">
        <v>32.151000000000003</v>
      </c>
      <c r="L54">
        <f t="shared" si="6"/>
        <v>4970.6985011145034</v>
      </c>
    </row>
    <row r="55" spans="1:12" ht="16" x14ac:dyDescent="0.2">
      <c r="C55" s="12">
        <v>-253</v>
      </c>
      <c r="D55">
        <f t="shared" si="3"/>
        <v>253</v>
      </c>
      <c r="G55">
        <v>158.1260665703181</v>
      </c>
      <c r="H55">
        <f t="shared" si="4"/>
        <v>0.13062322483414221</v>
      </c>
      <c r="J55">
        <f t="shared" si="5"/>
        <v>152.8291730559464</v>
      </c>
      <c r="K55">
        <v>32.151000000000003</v>
      </c>
      <c r="L55">
        <f t="shared" si="6"/>
        <v>4913.6107429217336</v>
      </c>
    </row>
    <row r="57" spans="1:12" x14ac:dyDescent="0.2">
      <c r="G57">
        <f>SUM(G44:G49)</f>
        <v>1413.3500809255265</v>
      </c>
      <c r="J57">
        <v>1407</v>
      </c>
    </row>
    <row r="58" spans="1:12" x14ac:dyDescent="0.2">
      <c r="A58" s="11"/>
      <c r="B58" s="11"/>
      <c r="G58" s="11">
        <v>1313.3500809255268</v>
      </c>
      <c r="J58">
        <v>1407</v>
      </c>
    </row>
    <row r="59" spans="1:12" x14ac:dyDescent="0.2">
      <c r="G59" s="11">
        <v>1313.3500809255268</v>
      </c>
      <c r="J59">
        <v>1407</v>
      </c>
    </row>
    <row r="60" spans="1:12" x14ac:dyDescent="0.2">
      <c r="G60" s="11">
        <v>1313.3500809255268</v>
      </c>
      <c r="J60">
        <v>1407</v>
      </c>
    </row>
    <row r="61" spans="1:12" x14ac:dyDescent="0.2">
      <c r="G61" s="11">
        <v>1313.3500809255268</v>
      </c>
      <c r="J61">
        <v>1407</v>
      </c>
    </row>
    <row r="62" spans="1:12" x14ac:dyDescent="0.2">
      <c r="G62" s="11">
        <v>1313.3500809255268</v>
      </c>
      <c r="J62">
        <v>1407</v>
      </c>
    </row>
    <row r="63" spans="1:12" x14ac:dyDescent="0.2">
      <c r="G63">
        <f>SUM(G50:G55)</f>
        <v>1210.5509320497745</v>
      </c>
      <c r="J63">
        <v>1170</v>
      </c>
    </row>
    <row r="64" spans="1:12" x14ac:dyDescent="0.2">
      <c r="G64">
        <v>1210.5509320497745</v>
      </c>
      <c r="J64">
        <v>1170</v>
      </c>
    </row>
    <row r="65" spans="7:10" x14ac:dyDescent="0.2">
      <c r="G65">
        <v>1210.5509320497745</v>
      </c>
      <c r="J65">
        <v>1170</v>
      </c>
    </row>
    <row r="66" spans="7:10" x14ac:dyDescent="0.2">
      <c r="G66">
        <v>1210.5509320497745</v>
      </c>
      <c r="J66">
        <v>1170</v>
      </c>
    </row>
    <row r="67" spans="7:10" x14ac:dyDescent="0.2">
      <c r="G67">
        <v>1210.5509320497745</v>
      </c>
      <c r="J67">
        <v>1170</v>
      </c>
    </row>
    <row r="68" spans="7:10" x14ac:dyDescent="0.2">
      <c r="G68">
        <v>1210.5509320497745</v>
      </c>
      <c r="J68">
        <v>1170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1D88-A39A-A748-A433-E2CF4F3BC01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</vt:lpstr>
      <vt:lpstr>demand</vt:lpstr>
      <vt:lpstr>price</vt:lpstr>
      <vt:lpstr>capacity</vt:lpstr>
      <vt:lpstr>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WU</dc:creator>
  <dc:description/>
  <cp:lastModifiedBy>botapaul9</cp:lastModifiedBy>
  <cp:revision>45</cp:revision>
  <dcterms:created xsi:type="dcterms:W3CDTF">2015-06-05T18:17:20Z</dcterms:created>
  <dcterms:modified xsi:type="dcterms:W3CDTF">2025-10-22T17:19:47Z</dcterms:modified>
  <dc:language>en-SG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